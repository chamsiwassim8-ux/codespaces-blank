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simChamsi\Downloads\"/>
    </mc:Choice>
  </mc:AlternateContent>
  <xr:revisionPtr revIDLastSave="0" documentId="13_ncr:1_{A28FD0AF-0378-461B-A518-8976AA5150FD}" xr6:coauthVersionLast="47" xr6:coauthVersionMax="47" xr10:uidLastSave="{00000000-0000-0000-0000-000000000000}"/>
  <bookViews>
    <workbookView xWindow="-108" yWindow="-108" windowWidth="23256" windowHeight="13896" activeTab="1" xr2:uid="{836C3B83-D496-48E8-A1B5-9AACDE75119B}"/>
  </bookViews>
  <sheets>
    <sheet name="Container Load" sheetId="1" r:id="rId1"/>
    <sheet name="Product Specs" sheetId="2" r:id="rId2"/>
  </sheets>
  <definedNames>
    <definedName name="_xlnm._FilterDatabase" localSheetId="1" hidden="1">'Product Specs'!$A$1:$J$1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02" i="2" l="1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K18" i="1"/>
  <c r="I18" i="1"/>
  <c r="G18" i="1"/>
  <c r="E18" i="1"/>
  <c r="C18" i="1"/>
  <c r="L17" i="1"/>
  <c r="K17" i="1"/>
  <c r="J17" i="1"/>
  <c r="I17" i="1"/>
  <c r="H17" i="1"/>
  <c r="F17" i="1"/>
  <c r="E17" i="1"/>
  <c r="D17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tc={5E327022-44B2-43B9-A166-58C9A77B7D35}</author>
    <author>tc={FAAEDA4C-074D-4036-8011-192136871AB9}</author>
  </authors>
  <commentList>
    <comment ref="H328" authorId="0" shapeId="0" xr:uid="{5E327022-44B2-43B9-A166-58C9A77B7D35}">
      <text>
        <t>[Threaded comment]
Your version of Excel allows you to read this threaded comment; however, any edits to it will get removed if the file is opened in a newer version of Excel. Learn more: https://go.microsoft.com/fwlink/?linkid=870924
Comment:
    1137371 avec une palettisation ss tétines</t>
      </text>
    </comment>
    <comment ref="H432" authorId="1" shapeId="0" xr:uid="{FAAEDA4C-074D-4036-8011-192136871AB9}">
      <text>
        <t>[Threaded comment]
Your version of Excel allows you to read this threaded comment; however, any edits to it will get removed if the file is opened in a newer version of Excel. Learn more: https://go.microsoft.com/fwlink/?linkid=870924
Comment:
    1137371 avec une palettisation ss tétines</t>
      </text>
    </comment>
  </commentList>
</comments>
</file>

<file path=xl/sharedStrings.xml><?xml version="1.0" encoding="utf-8"?>
<sst xmlns="http://schemas.openxmlformats.org/spreadsheetml/2006/main" count="2974" uniqueCount="487">
  <si>
    <t>Product</t>
  </si>
  <si>
    <t>Gross weight / Pallet (kg)</t>
  </si>
  <si>
    <t xml:space="preserve">Shipment type </t>
  </si>
  <si>
    <t xml:space="preserve">Container </t>
  </si>
  <si>
    <t>Premuim</t>
  </si>
  <si>
    <t>Non Palletized</t>
  </si>
  <si>
    <t xml:space="preserve">Container size </t>
  </si>
  <si>
    <t>20'</t>
  </si>
  <si>
    <t>40'</t>
  </si>
  <si>
    <t xml:space="preserve">Ultima </t>
  </si>
  <si>
    <t xml:space="preserve">Container type </t>
  </si>
  <si>
    <t xml:space="preserve">Reefer </t>
  </si>
  <si>
    <t>DV</t>
  </si>
  <si>
    <t>HC</t>
  </si>
  <si>
    <t>611,82</t>
  </si>
  <si>
    <t xml:space="preserve">Product size </t>
  </si>
  <si>
    <t>800/900</t>
  </si>
  <si>
    <t xml:space="preserve">Tins (unit) </t>
  </si>
  <si>
    <t>with SpC</t>
  </si>
  <si>
    <t>without SpC</t>
  </si>
  <si>
    <t>Palletized</t>
  </si>
  <si>
    <t>Reefer</t>
  </si>
  <si>
    <t xml:space="preserve">HC </t>
  </si>
  <si>
    <t>Pallet</t>
  </si>
  <si>
    <t>for mixed articles 400+900, one pallet is reduced</t>
  </si>
  <si>
    <t>Tin/ Pallet</t>
  </si>
  <si>
    <t xml:space="preserve"> </t>
  </si>
  <si>
    <t>Truck</t>
  </si>
  <si>
    <t>Airshipment</t>
  </si>
  <si>
    <t xml:space="preserve">Dry Truck </t>
  </si>
  <si>
    <t>Dry Truck (Iraq)</t>
  </si>
  <si>
    <t>Pallet dimension</t>
  </si>
  <si>
    <t>80x120x160cm</t>
  </si>
  <si>
    <t>Gross weight/unit</t>
  </si>
  <si>
    <t>0,54 KG</t>
  </si>
  <si>
    <t>1,133 KG</t>
  </si>
  <si>
    <t>Country</t>
  </si>
  <si>
    <t>Customer</t>
  </si>
  <si>
    <t>Company</t>
  </si>
  <si>
    <t>Customer Code</t>
  </si>
  <si>
    <t>Concat country</t>
  </si>
  <si>
    <t>SAP code</t>
  </si>
  <si>
    <t>Supplier code</t>
  </si>
  <si>
    <t>Description</t>
  </si>
  <si>
    <t>Supplier</t>
  </si>
  <si>
    <t>Tunisia</t>
  </si>
  <si>
    <t>VITAL PHARMA</t>
  </si>
  <si>
    <t>Pharmalys</t>
  </si>
  <si>
    <t>VITP</t>
  </si>
  <si>
    <t>MLPRHHMN0140002</t>
  </si>
  <si>
    <t>Primalac Premium 1 400gr MENA</t>
  </si>
  <si>
    <t>Hochdorf</t>
  </si>
  <si>
    <t>MLPRHHMN0240002</t>
  </si>
  <si>
    <t>Primalac Premium 2 400gr MENA</t>
  </si>
  <si>
    <t>MLPRHHMN0340002</t>
  </si>
  <si>
    <t>Primalac Premium 3 400gr MENA</t>
  </si>
  <si>
    <t>MLPRHHMN0440002</t>
  </si>
  <si>
    <t>Primalac Premium AC 400gr MENA</t>
  </si>
  <si>
    <t>MLPRHHMN0540001</t>
  </si>
  <si>
    <t>Primalac Premium AR 400gr MENA</t>
  </si>
  <si>
    <t>MLPRHHMN1140002</t>
  </si>
  <si>
    <t>Primalac Premium LF 400gr MENA</t>
  </si>
  <si>
    <t>MLPRHHMN1440001</t>
  </si>
  <si>
    <t>Primalac Premium PRE 400gr MENA</t>
  </si>
  <si>
    <t>MLPRFCMN1540001</t>
  </si>
  <si>
    <t>Primalac Premium CMA 400gr MENA</t>
  </si>
  <si>
    <t>Friesland</t>
  </si>
  <si>
    <t>MLPRHHMN0190002</t>
  </si>
  <si>
    <t>Primalac Premium 1 900gr MENA</t>
  </si>
  <si>
    <t>MLPRHHMN0290002</t>
  </si>
  <si>
    <t>Primalac Premium 2 900gr MENA</t>
  </si>
  <si>
    <t>MLPRHHMN0390003</t>
  </si>
  <si>
    <t>Primalac Premium 3 900gr MENA</t>
  </si>
  <si>
    <t>MLPRHHMN0490002</t>
  </si>
  <si>
    <t>Primalac Premium AC 900gr MENA</t>
  </si>
  <si>
    <t>MLPUHHMN0140001</t>
  </si>
  <si>
    <t>Primalac Ultima 1 400gr MENA</t>
  </si>
  <si>
    <t>MLPUHHMN0240001</t>
  </si>
  <si>
    <t>Primalac Ultima 2 400gr MENA</t>
  </si>
  <si>
    <t>MLPUHHMN0340001</t>
  </si>
  <si>
    <t>Primalac Ultima 3 400gr MENA</t>
  </si>
  <si>
    <t>MLPUHHMN0440001</t>
  </si>
  <si>
    <t>Primalac Ultima AC 400gr MENA</t>
  </si>
  <si>
    <t>MLPUHHMN0540001</t>
  </si>
  <si>
    <t>Primalac Ultima AR 400gr MENA</t>
  </si>
  <si>
    <t>Algeria</t>
  </si>
  <si>
    <t>Sarl Health Mediteranean Company</t>
  </si>
  <si>
    <t>SHMC</t>
  </si>
  <si>
    <t>CRPRBLMN0620001</t>
  </si>
  <si>
    <t> B25792700</t>
  </si>
  <si>
    <t>Primalac Cereals Rice &amp; Milk 200 gr</t>
  </si>
  <si>
    <t>Ninolac</t>
  </si>
  <si>
    <t>CRPRBLMN0120001</t>
  </si>
  <si>
    <t>B25792400</t>
  </si>
  <si>
    <t>Primalac Cereals Wheat &amp; Milk 200 gr</t>
  </si>
  <si>
    <t>CRPRBLMN0320001</t>
  </si>
  <si>
    <t> B25792800</t>
  </si>
  <si>
    <t>Primalac Cereals Wheat Milk &amp; Honey 200 gr</t>
  </si>
  <si>
    <t>CRPRBLMN0220001</t>
  </si>
  <si>
    <t> B25792500</t>
  </si>
  <si>
    <t>Primalac Cereals Wheat, Milk &amp; 5 Fruits 200 gr</t>
  </si>
  <si>
    <t>Nutrilife</t>
  </si>
  <si>
    <t>MLNUDKAF0140001</t>
  </si>
  <si>
    <t>Nutrimilk Premium 1 400gr AF</t>
  </si>
  <si>
    <t>DMK</t>
  </si>
  <si>
    <t>MLNUDKAF0240001</t>
  </si>
  <si>
    <t>Nutrimilk Premium 2 400gr AF</t>
  </si>
  <si>
    <t>MLNUDKAF0340001</t>
  </si>
  <si>
    <t>Nutrimilk Premium 3 400gr AF</t>
  </si>
  <si>
    <t>MLNUDKAF0535001</t>
  </si>
  <si>
    <t>Nutrimilk AR</t>
  </si>
  <si>
    <t>Libya</t>
  </si>
  <si>
    <t>Lamsat Al hayat</t>
  </si>
  <si>
    <t>Omega International General Trading</t>
  </si>
  <si>
    <t>MLPRHHMN0840001</t>
  </si>
  <si>
    <t>Primalac Premium HA 400gr MENA</t>
  </si>
  <si>
    <t>MLPRHHMN0940001</t>
  </si>
  <si>
    <t>Primalac Premium HA1 400gr MENA</t>
  </si>
  <si>
    <t>MLPRHHMN1040001</t>
  </si>
  <si>
    <t>Primalac Premium HA2 400gr MENA</t>
  </si>
  <si>
    <t>MLPRFCMN1440001</t>
  </si>
  <si>
    <t>MLPSHHMN1240002</t>
  </si>
  <si>
    <t>Primasure total 400gr MENA</t>
  </si>
  <si>
    <t>MLNUHHSA1640001</t>
  </si>
  <si>
    <t>Nutrimilk 1 400gr KSA</t>
  </si>
  <si>
    <t>MLNUHHSA1740001</t>
  </si>
  <si>
    <t>Nutrimilk  2 400gr KSA</t>
  </si>
  <si>
    <t>MLNUHHSA1840001</t>
  </si>
  <si>
    <t>Nutrimilk  3 400gr KSA</t>
  </si>
  <si>
    <t>Morocco</t>
  </si>
  <si>
    <t>Medinmark</t>
  </si>
  <si>
    <t>MLPRFCMN0140001</t>
  </si>
  <si>
    <t>Moroco</t>
  </si>
  <si>
    <t>MLPRFCMN0240001</t>
  </si>
  <si>
    <t>MLPRFCMN0340001</t>
  </si>
  <si>
    <t>BOTTU</t>
  </si>
  <si>
    <t>MLSWHHMN1640001</t>
  </si>
  <si>
    <t>Swisslac 1 400gr MENA</t>
  </si>
  <si>
    <t>Pharmalys Switzerland SARL</t>
  </si>
  <si>
    <t>MLSWHHMN1740001</t>
  </si>
  <si>
    <t>Swisslac 2 400gr MENA</t>
  </si>
  <si>
    <t>MLSWHHMN1840001</t>
  </si>
  <si>
    <t>Swisslac 3 400gr MENA</t>
  </si>
  <si>
    <t>MLSWHHMN0640001</t>
  </si>
  <si>
    <t>Swisslac Premium AR1 400gr MENA</t>
  </si>
  <si>
    <t>MLSWHHMN0540001</t>
  </si>
  <si>
    <t>Swisslac Premium AR 400gr MENA</t>
  </si>
  <si>
    <t>MLSWHHMN0440002</t>
  </si>
  <si>
    <t>Swisslac Premium Comfort 400gr MENA</t>
  </si>
  <si>
    <t>Mauritania</t>
  </si>
  <si>
    <t>CHENGUITY</t>
  </si>
  <si>
    <t>MLPRHHPX0140002</t>
  </si>
  <si>
    <t xml:space="preserve">Primalac Premium 1 400gr AF </t>
  </si>
  <si>
    <t>MLPRHHPX0240002</t>
  </si>
  <si>
    <t xml:space="preserve">Primalac Premium 2 400gr AF </t>
  </si>
  <si>
    <t>MLPRHHPX0340002</t>
  </si>
  <si>
    <t xml:space="preserve">Primalac Premium 3 400gr AF </t>
  </si>
  <si>
    <t>MLPRHHPX0440002</t>
  </si>
  <si>
    <t xml:space="preserve">Primalac Premium AC 400gr AF </t>
  </si>
  <si>
    <t>MLPRHHPX0540001</t>
  </si>
  <si>
    <t>Primalac Premium AR 400gr AF</t>
  </si>
  <si>
    <t>MLPRHHPX1140002</t>
  </si>
  <si>
    <t xml:space="preserve">Primalac Premium LF 400gr AF </t>
  </si>
  <si>
    <t>B25792400 </t>
  </si>
  <si>
    <t>MLNUHHAF0140001</t>
  </si>
  <si>
    <t>MLNUHHAF0240001</t>
  </si>
  <si>
    <t>MLNUHHAF0340001</t>
  </si>
  <si>
    <t>GKDIS</t>
  </si>
  <si>
    <t>CRSWNUMN0125001</t>
  </si>
  <si>
    <t>Swisslac Wheat &amp; Milk 250gr MENA</t>
  </si>
  <si>
    <t>Nutriceal</t>
  </si>
  <si>
    <t>CRSWNUMN0225001</t>
  </si>
  <si>
    <t>Swisslac 5 Cereals, 5 Fruits &amp; Milk 250gr MENA</t>
  </si>
  <si>
    <t>CRSWNUMN0325001</t>
  </si>
  <si>
    <t>Swisslac 5 Cereals, Honey &amp; Milk 250gr MENA</t>
  </si>
  <si>
    <t>CRSWNUMN0425001</t>
  </si>
  <si>
    <t>Swisslac  5 Cereals &amp; Milk 250gr MENA</t>
  </si>
  <si>
    <t>CRSWNUIQ0535001</t>
  </si>
  <si>
    <t>Swisslac Plain Rice 350gr IQ</t>
  </si>
  <si>
    <t>CRSWNUIQ0135001</t>
  </si>
  <si>
    <t>Swisslac Wheat &amp; Milk 350gr IQ</t>
  </si>
  <si>
    <t>CRSWNUIQ0435001</t>
  </si>
  <si>
    <t>Swisslac 5 Cereals &amp; Milk 350gr IQ</t>
  </si>
  <si>
    <t>CRSWNUIQ0635001</t>
  </si>
  <si>
    <t>Swisslac Rice &amp; Milk 350gr IQ</t>
  </si>
  <si>
    <t>CRSWNUIQ0335001</t>
  </si>
  <si>
    <t>Swisslac Honey &amp; Milk 350gr IQ</t>
  </si>
  <si>
    <t>CRSWNUIQ0235001</t>
  </si>
  <si>
    <t>SW 5 Cereals, 5 Fruit &amp; Milk  350gr IQ</t>
  </si>
  <si>
    <t>MLSWHHMN0440001</t>
  </si>
  <si>
    <t>Egypt</t>
  </si>
  <si>
    <t>Pharmaoverseas Import &amp; Export</t>
  </si>
  <si>
    <t>MLSWHHEG0140001</t>
  </si>
  <si>
    <t>Swisslac Ultra 1 400gr EG</t>
  </si>
  <si>
    <t>MLSWHHEG0240001</t>
  </si>
  <si>
    <t>Swisslac Ultra 2 400gr EG</t>
  </si>
  <si>
    <t>MLSWHHEG0340001</t>
  </si>
  <si>
    <t>Swisslac Ultra 3 400gr EG</t>
  </si>
  <si>
    <t>MLSWHHEG0540001</t>
  </si>
  <si>
    <t>Swisslac Ultra AR 400gr EG</t>
  </si>
  <si>
    <t>MLSWHHEG1140001</t>
  </si>
  <si>
    <t>Swisslac Ultra LF 400gr EG</t>
  </si>
  <si>
    <t>IC</t>
  </si>
  <si>
    <t>Planetpharma IC</t>
  </si>
  <si>
    <t>Africa</t>
  </si>
  <si>
    <t>Piex</t>
  </si>
  <si>
    <t>MLPUHHPX0140001</t>
  </si>
  <si>
    <t>Primalac Ultima 1 400gr AF</t>
  </si>
  <si>
    <t>MLPUHHPX0240001</t>
  </si>
  <si>
    <t>Primalac Ultima 2 400gr AF</t>
  </si>
  <si>
    <t>MLPUHHPX0340001</t>
  </si>
  <si>
    <t>Primalac Ultima 3 400gr AF</t>
  </si>
  <si>
    <t>MLPUHHPX0440001</t>
  </si>
  <si>
    <t>Primalac Ultima AC 400gr AF</t>
  </si>
  <si>
    <t>MLPUHHPX0540001</t>
  </si>
  <si>
    <t>Primalac Ultima AR 400gr AF</t>
  </si>
  <si>
    <t>MLPRFCPX1540001</t>
  </si>
  <si>
    <t xml:space="preserve">Primalac Premium CMA 400gr AF </t>
  </si>
  <si>
    <t>MLPRFCPX1440001</t>
  </si>
  <si>
    <t xml:space="preserve">Primalac Premium PRE 400gr AF </t>
  </si>
  <si>
    <t>CRPRNUMN0125001</t>
  </si>
  <si>
    <t>Primalac Wheat &amp; Milk 250gr MENA</t>
  </si>
  <si>
    <t>CRPRNUMN0225001</t>
  </si>
  <si>
    <t>Primalac 5 Cereals, 5 Fruits &amp; Milk 250gr MENA</t>
  </si>
  <si>
    <t>CRPRNUMN0325001</t>
  </si>
  <si>
    <t>Primalac 5 Cereals, Honey &amp; Milk 250gr MENA</t>
  </si>
  <si>
    <t>CRPRNUMN0425001</t>
  </si>
  <si>
    <t>Primalac 5 Cereals &amp; Milk 250gr MENA</t>
  </si>
  <si>
    <t>CRPRNUMN0525001</t>
  </si>
  <si>
    <t>Primalac Plain Rice 250gr MENA</t>
  </si>
  <si>
    <t>CRPRNUMN0625001</t>
  </si>
  <si>
    <t>Primalac Rice &amp; Milk 250gr MENA</t>
  </si>
  <si>
    <t>Med Saad</t>
  </si>
  <si>
    <t>Planetpharma</t>
  </si>
  <si>
    <t>France</t>
  </si>
  <si>
    <t>MLPSHHMN1240001</t>
  </si>
  <si>
    <t>Mali</t>
  </si>
  <si>
    <t>Compass</t>
  </si>
  <si>
    <t>Cameroon</t>
  </si>
  <si>
    <t>SOTICAM</t>
  </si>
  <si>
    <t>DRC</t>
  </si>
  <si>
    <t>CONGO</t>
  </si>
  <si>
    <t>Societe Madina Congo</t>
  </si>
  <si>
    <t>Congo</t>
  </si>
  <si>
    <t>Rwanda</t>
  </si>
  <si>
    <t>Avalon Grand Limited</t>
  </si>
  <si>
    <t>Georgia</t>
  </si>
  <si>
    <t>New Pharm Group LLC</t>
  </si>
  <si>
    <t>South Soudan</t>
  </si>
  <si>
    <t>Southern Sudan Allied Consultants Ltd</t>
  </si>
  <si>
    <t>MLPUHHMN0640001</t>
  </si>
  <si>
    <t>Primalac Ultima AR1 400gr MENA</t>
  </si>
  <si>
    <t>MLPUHHMN0740001</t>
  </si>
  <si>
    <t>Primalac Ultima AR2 400gr MENA</t>
  </si>
  <si>
    <t>MLPUHHMN1140001</t>
  </si>
  <si>
    <t>Primalac Ultima LF 400gr MENA</t>
  </si>
  <si>
    <t>MLPUHHMN1440001</t>
  </si>
  <si>
    <t>Primalac Ultima PRE 400g MENA</t>
  </si>
  <si>
    <t>UAE</t>
  </si>
  <si>
    <t>ARABIAN ETHICALS CO.</t>
  </si>
  <si>
    <t>MLPUHHMN0180001</t>
  </si>
  <si>
    <t>Primalac Ultima 1 800gr MENA</t>
  </si>
  <si>
    <t>Alphamed</t>
  </si>
  <si>
    <t>MLPUHHMN0280001</t>
  </si>
  <si>
    <t>Primalac Ultima 2 800gr MENA</t>
  </si>
  <si>
    <t>MLPUHHMN0380001</t>
  </si>
  <si>
    <t>Primalac Ultima 3 800gr MENA</t>
  </si>
  <si>
    <t>MLPUHHSA0440001</t>
  </si>
  <si>
    <t>Primalac Ultima Pro 400gr KSA</t>
  </si>
  <si>
    <t>MLPUHHSA0480001</t>
  </si>
  <si>
    <t>Primalac Ultima Pro 800gr KSA</t>
  </si>
  <si>
    <t>MLPUHHMN0840001</t>
  </si>
  <si>
    <t>Primalac Ultima HA 400gr MENA</t>
  </si>
  <si>
    <t>MLPUFCMN1540002</t>
  </si>
  <si>
    <t xml:space="preserve">Primalac Ultima CMA 400gr 0-3 MENA </t>
  </si>
  <si>
    <t>MLPSHHMN0140001</t>
  </si>
  <si>
    <t>Primasure total 1+ 400gr MENA</t>
  </si>
  <si>
    <t>MLPSHHMN0240001</t>
  </si>
  <si>
    <t>Primasure total 3+ 400gr MENA</t>
  </si>
  <si>
    <t>RFPUESMN0107003</t>
  </si>
  <si>
    <t>Primalac Ultima 1 RTF 70ml MENA 12M</t>
  </si>
  <si>
    <t>Even Sante</t>
  </si>
  <si>
    <t>RFPUESMN1407001</t>
  </si>
  <si>
    <t>Primalac Ultima PRE RTF 70ml MENA 9M</t>
  </si>
  <si>
    <t>RFPRESMN1007002</t>
  </si>
  <si>
    <t>Pharmalys Teats</t>
  </si>
  <si>
    <t>Primalac5 Cereals, 5 Fruits &amp; Milk 250gr MENA</t>
  </si>
  <si>
    <t>CRPRNUMN0725001</t>
  </si>
  <si>
    <t>Primalac Plain Rice 250gr 4M MENA</t>
  </si>
  <si>
    <t>CRPRNUMN0825001</t>
  </si>
  <si>
    <t>Primalac Rice &amp; Milk 250gr 4M MENA</t>
  </si>
  <si>
    <t>Qatar</t>
  </si>
  <si>
    <t xml:space="preserve">Khalid Scientific Company </t>
  </si>
  <si>
    <t>Doha Drug Store</t>
  </si>
  <si>
    <t>MLPUHHMN0490001</t>
  </si>
  <si>
    <t>Primalac Ultima AC 900gr MENA</t>
  </si>
  <si>
    <t>MLPUFCMN1540001</t>
  </si>
  <si>
    <t>Primalac Ultima CMA 400gr MENA</t>
  </si>
  <si>
    <t>MLPSHHMN0204201</t>
  </si>
  <si>
    <t>Primasure Total 3+ 42gr MENA</t>
  </si>
  <si>
    <t>Kuwait</t>
  </si>
  <si>
    <t xml:space="preserve">Bustan al Messila General Trading </t>
  </si>
  <si>
    <t>MLPUDKMN0140001</t>
  </si>
  <si>
    <t>Ali AbdulWahab Al-Mutawa</t>
  </si>
  <si>
    <t>MLPUDKMN0240001</t>
  </si>
  <si>
    <t>MLPUDKMN0340001</t>
  </si>
  <si>
    <t>MLPUHHSA0540001</t>
  </si>
  <si>
    <t>Primalac Ultima AR 400gr KSA</t>
  </si>
  <si>
    <t>MLPUHHMN0840003</t>
  </si>
  <si>
    <t>Primalac Ultima HA 400gr MENA 0-3</t>
  </si>
  <si>
    <t>MLPUHHSA1140001</t>
  </si>
  <si>
    <t>Primalac Ultima LF 400gr KSA</t>
  </si>
  <si>
    <t>KSA</t>
  </si>
  <si>
    <t>Ultra Pharma Company</t>
  </si>
  <si>
    <t>MLPUDKMN0180001</t>
  </si>
  <si>
    <t>MLPUDKMN0280001</t>
  </si>
  <si>
    <t>MLPUDKMN0380001</t>
  </si>
  <si>
    <t>MLPUHHSA0140001</t>
  </si>
  <si>
    <t>Primalac Ultima 1 400gr KSA</t>
  </si>
  <si>
    <t>MLPUHHSA0180001</t>
  </si>
  <si>
    <t>Primalac Ultima 1 800gr KSA</t>
  </si>
  <si>
    <t>MLPUHHSA0240001</t>
  </si>
  <si>
    <t>Primalac Ultima 2 400gr KSA</t>
  </si>
  <si>
    <t>MLPUHHSA0280001</t>
  </si>
  <si>
    <t>Primalac Ultima 2 800gr KSA</t>
  </si>
  <si>
    <t>MLPUHHSA0340001</t>
  </si>
  <si>
    <t>Primalac Ultima 3 400gr KSA</t>
  </si>
  <si>
    <t>MLPUHHSA0380001</t>
  </si>
  <si>
    <t>Primalac Ultima 3 800gr KSA</t>
  </si>
  <si>
    <t>MLPUDKMN1240001</t>
  </si>
  <si>
    <t>Primalac Ultima 4 400gr MENA</t>
  </si>
  <si>
    <t>MLPUDKMN1280001</t>
  </si>
  <si>
    <t>Primalac Ultima 4 800gr MENA</t>
  </si>
  <si>
    <t>MLPUHHMN0840002</t>
  </si>
  <si>
    <t>Primalac Ultima PRE 400gr MENA</t>
  </si>
  <si>
    <t xml:space="preserve">MLPUHHSA0302801 </t>
  </si>
  <si>
    <t>Primalac Ultima 3 28gr KSA</t>
  </si>
  <si>
    <t>MLNUDKME0140001</t>
  </si>
  <si>
    <t>Nutrimilk Premium 1 400gr ME</t>
  </si>
  <si>
    <t>MLNUDKME0190001</t>
  </si>
  <si>
    <t>Nutrimilk Premium 1 900gr ME</t>
  </si>
  <si>
    <t>MLNUDKME0240001</t>
  </si>
  <si>
    <t>Nutrimilk Premium 2 400gr ME</t>
  </si>
  <si>
    <t>MLNUDKME0290001</t>
  </si>
  <si>
    <t>Nutrimilk Premium 2 900gr ME</t>
  </si>
  <si>
    <t>MLNUDKME0340001</t>
  </si>
  <si>
    <t>Nutrimilk Premium 3 400gr ME</t>
  </si>
  <si>
    <t>MLNUDKME0390001</t>
  </si>
  <si>
    <t>Nutrimilk Premium 3 900gr ME</t>
  </si>
  <si>
    <t>MLNUHHSA0540001</t>
  </si>
  <si>
    <t>Nutrimilk Premium AR 400gr KSA</t>
  </si>
  <si>
    <t>MLNUHHSA0440002</t>
  </si>
  <si>
    <t>Nutrimilk Premium PRO 400gr KSA</t>
  </si>
  <si>
    <t>MLNUHHSA1140002</t>
  </si>
  <si>
    <t>Nutrimilk Premium LF 400gr KSA</t>
  </si>
  <si>
    <t>MLNUHHSA0840001</t>
  </si>
  <si>
    <t>Nutrimilk Premium HA 400gr KSA</t>
  </si>
  <si>
    <t>Mayar</t>
  </si>
  <si>
    <t>MLSWHHMN1140002</t>
  </si>
  <si>
    <t>Swisslac Premium LF 400gr MENA</t>
  </si>
  <si>
    <t>MLSWHHSA0840001</t>
  </si>
  <si>
    <t>Swisslac Premium WH 400gr KSA</t>
  </si>
  <si>
    <t>MLSWHHSA0840002</t>
  </si>
  <si>
    <t>MLSWHHSA0440002</t>
  </si>
  <si>
    <t>Swisslac Premium PRO PLUS 400gr KSA</t>
  </si>
  <si>
    <t>MLSWFCMN0140001</t>
  </si>
  <si>
    <t>Swisslac Premium 1 400gr MENA</t>
  </si>
  <si>
    <t>MLSWFCMN0240001</t>
  </si>
  <si>
    <t>Swisslac Premium 2 400gr MENA</t>
  </si>
  <si>
    <t>MLSWFCMN0340001</t>
  </si>
  <si>
    <t>Swisslac Premium 3 400gr MENA</t>
  </si>
  <si>
    <t>MLSWFCMN0190001</t>
  </si>
  <si>
    <t>Swisslac Premium 1 900gr MENA</t>
  </si>
  <si>
    <t>MLSWFCMN0290001</t>
  </si>
  <si>
    <t>Swisslac Premium 2 900gr MENA</t>
  </si>
  <si>
    <t>MLSWFCMN0390001</t>
  </si>
  <si>
    <t>Swisslac Premium 3 900gr MENA</t>
  </si>
  <si>
    <t>MLSWHHMN0190001</t>
  </si>
  <si>
    <t>MLSWHHMN0240001</t>
  </si>
  <si>
    <t>MLSWHHMN0290001</t>
  </si>
  <si>
    <t>MLSWHHMN0340001</t>
  </si>
  <si>
    <t>MLSWHHMN0390001</t>
  </si>
  <si>
    <t>Iraq</t>
  </si>
  <si>
    <t xml:space="preserve">TAGHTHEYA AL-MITHALIYA </t>
  </si>
  <si>
    <t>MLPRFCMN0190001</t>
  </si>
  <si>
    <t>MLPRFCMN0290001</t>
  </si>
  <si>
    <t>MLPRFCMN0390001</t>
  </si>
  <si>
    <t>MLPSHHMN1290001</t>
  </si>
  <si>
    <t>Primasure Total 900gr MENA</t>
  </si>
  <si>
    <t>MLPSHHMN1204201</t>
  </si>
  <si>
    <t>Primasure Total 42gr MENA</t>
  </si>
  <si>
    <t>MLPRHHMN2040001</t>
  </si>
  <si>
    <t>Primalac Premium ST 400gr MENA</t>
  </si>
  <si>
    <t>MLNUHHME0140001</t>
  </si>
  <si>
    <t>Nutrimilk 1 400gr ME</t>
  </si>
  <si>
    <t>MLNUHHME0240001</t>
  </si>
  <si>
    <t>Nutrimilk 2 400gr ME</t>
  </si>
  <si>
    <t>MLNUHHME0340001</t>
  </si>
  <si>
    <t>Nutrimilk 3 400gr ME</t>
  </si>
  <si>
    <t>CRPRBLMN0635001</t>
  </si>
  <si>
    <t>B25792900 </t>
  </si>
  <si>
    <t>Primalac Cereals Rice &amp; Milk 350 gr</t>
  </si>
  <si>
    <t>CRPRBLMN0135001</t>
  </si>
  <si>
    <t> B25792300</t>
  </si>
  <si>
    <t>Primalac Cereals Wheat &amp; Milk 350 gr</t>
  </si>
  <si>
    <t>CRPRBLMN0335001</t>
  </si>
  <si>
    <t> B25793000</t>
  </si>
  <si>
    <t>Primalac Cereals Wheat Milk &amp; Honey 350 gr</t>
  </si>
  <si>
    <t>CRPRBLMN0235001</t>
  </si>
  <si>
    <t> B25792600</t>
  </si>
  <si>
    <t>Primalac Cereals Wheat, Milk &amp; 5 Fruits 350 gr</t>
  </si>
  <si>
    <t>Al Rawd</t>
  </si>
  <si>
    <t>RCMT</t>
  </si>
  <si>
    <t>MLSWHHMN1440001</t>
  </si>
  <si>
    <t>Swisslac Premium PRE MENA</t>
  </si>
  <si>
    <t>Jordan</t>
  </si>
  <si>
    <t>Ashraf Hinnawi Drugstore</t>
  </si>
  <si>
    <t>MLPRHHJO0940001</t>
  </si>
  <si>
    <t>Primalac Premium HA1 400gr JOR</t>
  </si>
  <si>
    <t>MLPRHHMN0302801</t>
  </si>
  <si>
    <t>Primalac Premium 3 28gr MENA 12 M</t>
  </si>
  <si>
    <t>CRPRNUJO0125001</t>
  </si>
  <si>
    <t>Primalac Wheat &amp; Milk 250gr JOR</t>
  </si>
  <si>
    <t>CRPRNUJO0225001</t>
  </si>
  <si>
    <t>Primalac5 Cereals, 5 Fruits &amp; Milk 250gr JOR</t>
  </si>
  <si>
    <t>CRPRNUJO0325001</t>
  </si>
  <si>
    <t>Primalac 5 Cereals, Honey &amp; Milk 250gr JOR</t>
  </si>
  <si>
    <t>CRPRNUJO0525002</t>
  </si>
  <si>
    <t>Primalac Plain Rice 250gr JOR</t>
  </si>
  <si>
    <t>CRPRNUJO0625002</t>
  </si>
  <si>
    <t>Primalac Rice &amp; Milk 250gr JOR</t>
  </si>
  <si>
    <t>Oman</t>
  </si>
  <si>
    <t>Al Wanees Buisiness International</t>
  </si>
  <si>
    <t>MSF</t>
  </si>
  <si>
    <t>MSFF</t>
  </si>
  <si>
    <t>Belgium</t>
  </si>
  <si>
    <t>MSFB</t>
  </si>
  <si>
    <t>1000855</t>
  </si>
  <si>
    <t>Netherlands</t>
  </si>
  <si>
    <t>MSFH</t>
  </si>
  <si>
    <t>1000856</t>
  </si>
  <si>
    <t>Ecuador</t>
  </si>
  <si>
    <t>Dyvenpro Distribución y Venta</t>
  </si>
  <si>
    <t>MLPUHHLA0140001</t>
  </si>
  <si>
    <t>Primalac Ultimate 1 LA A 400gr</t>
  </si>
  <si>
    <t>MLPUHHLA0180001</t>
  </si>
  <si>
    <t>Primalac Ultimate 1 LA A 800gr</t>
  </si>
  <si>
    <t>MLPUHHLA0240001</t>
  </si>
  <si>
    <t>Primalac Ultimate 2 HP LA A 400gr</t>
  </si>
  <si>
    <t>MLPUHHLA0280001</t>
  </si>
  <si>
    <t>Primalac Ultimate 2 HP LA A 800gr</t>
  </si>
  <si>
    <t>MLPUHHLA0340001</t>
  </si>
  <si>
    <t>Primalac Ultimate 3 LA A 400gr</t>
  </si>
  <si>
    <t>MLPUHHLA0380001</t>
  </si>
  <si>
    <t>Primalac Ultimate 3 LA A 800gr</t>
  </si>
  <si>
    <t>MLPUHHLA0440001</t>
  </si>
  <si>
    <t>Primalac Ultimate AC Comfort 400gr</t>
  </si>
  <si>
    <t>MLPUHHLA0480001</t>
  </si>
  <si>
    <t>Primalac Ultimate AC Comfort 800gr</t>
  </si>
  <si>
    <t>MLPUHHLA1240001</t>
  </si>
  <si>
    <t>Primalac Ultimate 4 Jr 400gr LA</t>
  </si>
  <si>
    <t>MLPUHHLA1280001</t>
  </si>
  <si>
    <t>Primalac Ultimate 4 Jr 800gr LA</t>
  </si>
  <si>
    <t>MLPUHHLA0540001</t>
  </si>
  <si>
    <t>Primalac Ultimate AR 400gr</t>
  </si>
  <si>
    <t>MLPUHHLA1140001</t>
  </si>
  <si>
    <t>Primalac Ultimate LF 400gr</t>
  </si>
  <si>
    <t>MLPUHHLA1440002</t>
  </si>
  <si>
    <t>Primalac Ultimate PRE 400gr</t>
  </si>
  <si>
    <t>MLPUHHLA0840001</t>
  </si>
  <si>
    <t>Primalac Ultimate HA 400gr LA</t>
  </si>
  <si>
    <t>MLPSHHLA1240001</t>
  </si>
  <si>
    <t>Primaplus Total 400gr LA</t>
  </si>
  <si>
    <t>MLPSHHLA1280001</t>
  </si>
  <si>
    <t>Primaplus Total 800gr LA</t>
  </si>
  <si>
    <t>MLPUHHLA0302801</t>
  </si>
  <si>
    <t>Primalac Ultimate 3 28gr LA</t>
  </si>
  <si>
    <t>MLPSHHLA1204201</t>
  </si>
  <si>
    <t>Primasure Total 42gr LA</t>
  </si>
  <si>
    <t>MLPUFCLA1540001</t>
  </si>
  <si>
    <t>Primalac Ultimate CMA 400gr LA</t>
  </si>
  <si>
    <t xml:space="preserve">RFPUESLA0107001 </t>
  </si>
  <si>
    <t>Primalac Ultimate 1 RTF 70ml LA 12M</t>
  </si>
  <si>
    <t>Paraguay</t>
  </si>
  <si>
    <t>Boller</t>
  </si>
  <si>
    <t>Bolivia</t>
  </si>
  <si>
    <t>FARMEDICAL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</si>
</sst>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8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4" borderId="9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14" xfId="0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8" xfId="0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3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6" xfId="0" applyBorder="1"/>
    <xf numFmtId="0" fontId="0" fillId="6" borderId="32" xfId="0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6" borderId="26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6" borderId="30" xfId="0" applyFill="1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/>
    <xf numFmtId="0" fontId="0" fillId="6" borderId="38" xfId="0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6" borderId="40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6" borderId="41" xfId="0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/>
    </xf>
    <xf numFmtId="0" fontId="0" fillId="6" borderId="53" xfId="0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6" borderId="53" xfId="0" applyFill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7" xfId="0" applyBorder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0" fontId="0" fillId="0" borderId="67" xfId="0" applyBorder="1"/>
    <xf numFmtId="0" fontId="3" fillId="0" borderId="68" xfId="0" applyFon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3" xfId="0" applyBorder="1"/>
    <xf numFmtId="0" fontId="0" fillId="0" borderId="71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6" fillId="8" borderId="5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1" fontId="6" fillId="7" borderId="0" xfId="0" applyNumberFormat="1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left" vertical="center"/>
    </xf>
    <xf numFmtId="0" fontId="6" fillId="8" borderId="13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1" fontId="6" fillId="8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" fontId="7" fillId="7" borderId="0" xfId="0" applyNumberFormat="1" applyFont="1" applyFill="1" applyAlignment="1">
      <alignment horizontal="left" vertical="center"/>
    </xf>
    <xf numFmtId="1" fontId="6" fillId="7" borderId="0" xfId="0" applyNumberFormat="1" applyFont="1" applyFill="1" applyAlignment="1">
      <alignment horizontal="center" vertical="center"/>
    </xf>
    <xf numFmtId="0" fontId="6" fillId="7" borderId="17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8" borderId="0" xfId="0" applyFont="1" applyFill="1" applyAlignment="1">
      <alignment horizontal="center"/>
    </xf>
    <xf numFmtId="0" fontId="7" fillId="7" borderId="37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1" fontId="6" fillId="7" borderId="17" xfId="0" applyNumberFormat="1" applyFont="1" applyFill="1" applyBorder="1" applyAlignment="1">
      <alignment horizontal="left" vertical="center"/>
    </xf>
    <xf numFmtId="0" fontId="5" fillId="7" borderId="72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vertical="center"/>
    </xf>
    <xf numFmtId="0" fontId="5" fillId="7" borderId="36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1" fontId="6" fillId="8" borderId="37" xfId="0" applyNumberFormat="1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 vertical="center" wrapText="1"/>
    </xf>
    <xf numFmtId="0" fontId="6" fillId="7" borderId="37" xfId="0" applyFont="1" applyFill="1" applyBorder="1" applyAlignment="1">
      <alignment vertical="center"/>
    </xf>
    <xf numFmtId="0" fontId="4" fillId="7" borderId="31" xfId="0" applyFont="1" applyFill="1" applyBorder="1" applyAlignment="1">
      <alignment horizontal="center" vertical="center"/>
    </xf>
    <xf numFmtId="1" fontId="6" fillId="7" borderId="17" xfId="0" applyNumberFormat="1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 wrapText="1"/>
    </xf>
    <xf numFmtId="1" fontId="7" fillId="8" borderId="17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7" fillId="7" borderId="74" xfId="0" applyFont="1" applyFill="1" applyBorder="1" applyAlignment="1">
      <alignment horizontal="center" vertical="center"/>
    </xf>
    <xf numFmtId="0" fontId="7" fillId="7" borderId="74" xfId="0" applyFont="1" applyFill="1" applyBorder="1" applyAlignment="1">
      <alignment horizontal="left" vertical="center"/>
    </xf>
    <xf numFmtId="0" fontId="7" fillId="8" borderId="75" xfId="0" applyFont="1" applyFill="1" applyBorder="1" applyAlignment="1">
      <alignment horizontal="center" vertical="center"/>
    </xf>
    <xf numFmtId="0" fontId="7" fillId="8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" fontId="7" fillId="8" borderId="0" xfId="0" applyNumberFormat="1" applyFont="1" applyFill="1" applyAlignment="1">
      <alignment horizontal="center" vertical="center"/>
    </xf>
    <xf numFmtId="1" fontId="6" fillId="7" borderId="37" xfId="0" applyNumberFormat="1" applyFont="1" applyFill="1" applyBorder="1" applyAlignment="1">
      <alignment horizontal="center" vertical="center"/>
    </xf>
    <xf numFmtId="1" fontId="7" fillId="7" borderId="37" xfId="0" applyNumberFormat="1" applyFont="1" applyFill="1" applyBorder="1" applyAlignment="1">
      <alignment horizontal="center" vertical="center"/>
    </xf>
    <xf numFmtId="1" fontId="7" fillId="7" borderId="37" xfId="0" applyNumberFormat="1" applyFont="1" applyFill="1" applyBorder="1" applyAlignment="1">
      <alignment horizontal="left" vertical="center"/>
    </xf>
    <xf numFmtId="0" fontId="6" fillId="7" borderId="37" xfId="0" applyFont="1" applyFill="1" applyBorder="1" applyAlignment="1">
      <alignment horizontal="left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" fontId="6" fillId="7" borderId="37" xfId="0" applyNumberFormat="1" applyFont="1" applyFill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78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7" borderId="79" xfId="0" applyFont="1" applyFill="1" applyBorder="1" applyAlignment="1">
      <alignment horizontal="center" vertical="center"/>
    </xf>
    <xf numFmtId="1" fontId="5" fillId="7" borderId="79" xfId="0" applyNumberFormat="1" applyFont="1" applyFill="1" applyBorder="1" applyAlignment="1">
      <alignment horizontal="center" vertical="center" wrapText="1"/>
    </xf>
    <xf numFmtId="1" fontId="5" fillId="7" borderId="80" xfId="0" applyNumberFormat="1" applyFont="1" applyFill="1" applyBorder="1" applyAlignment="1">
      <alignment horizontal="center" vertical="center" wrapText="1"/>
    </xf>
    <xf numFmtId="1" fontId="5" fillId="7" borderId="81" xfId="0" applyNumberFormat="1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lim Bradai" id="{986FEDA5-ECEB-4CCA-93FC-66197BACC222}" userId="S::slim.bradai@pharmalys.ch::c85592ca-e60b-44e7-b47b-5f1b523211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28" dT="2026-05-29T08:11:40.47" personId="{986FEDA5-ECEB-4CCA-93FC-66197BACC222}" id="{5E327022-44B2-43B9-A166-58C9A77B7D35}">
    <text>1137371 avec une palettisation ss tétines</text>
  </threadedComment>
  <threadedComment ref="H432" dT="2026-05-29T08:11:40.47" personId="{986FEDA5-ECEB-4CCA-93FC-66197BACC222}" id="{FAAEDA4C-074D-4036-8011-192136871AB9}">
    <text>1137371 avec une palettisation ss tétines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74D3-4632-41B5-8A0A-3D7E39F1714C}">
  <dimension ref="A1:U27"/>
  <sheetViews>
    <sheetView workbookViewId="0">
      <selection activeCell="O16" sqref="O16"/>
    </sheetView>
  </sheetViews>
  <sheetFormatPr defaultColWidth="9.109375" defaultRowHeight="14.4" x14ac:dyDescent="0.3"/>
  <cols>
    <col min="1" max="1" width="10.44140625" bestFit="1" customWidth="1"/>
    <col min="2" max="2" width="11.6640625" bestFit="1" customWidth="1"/>
    <col min="3" max="3" width="10.33203125" customWidth="1"/>
    <col min="4" max="4" width="7.5546875" bestFit="1" customWidth="1"/>
    <col min="5" max="5" width="9.5546875" customWidth="1"/>
    <col min="6" max="6" width="9.44140625" customWidth="1"/>
    <col min="7" max="7" width="10.88671875" customWidth="1"/>
    <col min="8" max="8" width="10.33203125" customWidth="1"/>
    <col min="9" max="9" width="11.6640625" bestFit="1" customWidth="1"/>
    <col min="10" max="10" width="14.44140625" customWidth="1"/>
    <col min="11" max="11" width="13.5546875" bestFit="1" customWidth="1"/>
    <col min="12" max="12" width="11.6640625" customWidth="1"/>
    <col min="13" max="13" width="44.6640625" bestFit="1" customWidth="1"/>
    <col min="14" max="14" width="18.5546875" bestFit="1" customWidth="1"/>
    <col min="15" max="15" width="16.33203125" customWidth="1"/>
    <col min="16" max="16" width="17.88671875" customWidth="1"/>
    <col min="17" max="17" width="23.44140625" customWidth="1"/>
    <col min="18" max="18" width="12.88671875" bestFit="1" customWidth="1"/>
  </cols>
  <sheetData>
    <row r="1" spans="1:21" ht="15" thickBot="1" x14ac:dyDescent="0.35">
      <c r="O1" s="1" t="s">
        <v>0</v>
      </c>
      <c r="P1" s="2"/>
      <c r="Q1" s="3" t="s">
        <v>1</v>
      </c>
    </row>
    <row r="2" spans="1:21" ht="15" thickBot="1" x14ac:dyDescent="0.35">
      <c r="A2" s="4" t="s">
        <v>2</v>
      </c>
      <c r="B2" s="5"/>
      <c r="C2" s="6" t="s">
        <v>3</v>
      </c>
      <c r="D2" s="7"/>
      <c r="E2" s="7"/>
      <c r="F2" s="7"/>
      <c r="G2" s="7"/>
      <c r="H2" s="7"/>
      <c r="I2" s="7"/>
      <c r="J2" s="7"/>
      <c r="K2" s="7"/>
      <c r="L2" s="8"/>
      <c r="O2" s="9" t="s">
        <v>4</v>
      </c>
      <c r="P2" s="10">
        <v>400</v>
      </c>
      <c r="Q2" s="11">
        <v>545.91</v>
      </c>
    </row>
    <row r="3" spans="1:21" ht="15" thickBot="1" x14ac:dyDescent="0.35">
      <c r="A3" s="12"/>
      <c r="B3" s="13"/>
      <c r="C3" s="14" t="s">
        <v>5</v>
      </c>
      <c r="D3" s="15"/>
      <c r="E3" s="15"/>
      <c r="F3" s="15"/>
      <c r="G3" s="15"/>
      <c r="H3" s="15"/>
      <c r="I3" s="15"/>
      <c r="J3" s="15"/>
      <c r="K3" s="15"/>
      <c r="L3" s="16"/>
      <c r="O3" s="17"/>
      <c r="P3" s="18">
        <v>900</v>
      </c>
      <c r="Q3" s="19">
        <v>608.76</v>
      </c>
    </row>
    <row r="4" spans="1:21" ht="15" thickBot="1" x14ac:dyDescent="0.35">
      <c r="A4" s="20" t="s">
        <v>6</v>
      </c>
      <c r="B4" s="21"/>
      <c r="C4" s="22" t="s">
        <v>7</v>
      </c>
      <c r="D4" s="23"/>
      <c r="E4" s="23"/>
      <c r="F4" s="23"/>
      <c r="G4" s="22" t="s">
        <v>8</v>
      </c>
      <c r="H4" s="23"/>
      <c r="I4" s="23"/>
      <c r="J4" s="23"/>
      <c r="K4" s="23"/>
      <c r="L4" s="24"/>
      <c r="M4" s="25"/>
      <c r="N4" s="25"/>
      <c r="O4" s="26" t="s">
        <v>9</v>
      </c>
      <c r="P4" s="27">
        <v>400</v>
      </c>
      <c r="Q4" s="28">
        <v>467424</v>
      </c>
    </row>
    <row r="5" spans="1:21" ht="15" thickBot="1" x14ac:dyDescent="0.35">
      <c r="A5" s="29" t="s">
        <v>10</v>
      </c>
      <c r="B5" s="30"/>
      <c r="C5" s="31" t="s">
        <v>11</v>
      </c>
      <c r="D5" s="32"/>
      <c r="E5" s="31" t="s">
        <v>12</v>
      </c>
      <c r="F5" s="32"/>
      <c r="G5" s="31" t="s">
        <v>11</v>
      </c>
      <c r="H5" s="32"/>
      <c r="I5" s="31" t="s">
        <v>12</v>
      </c>
      <c r="J5" s="33"/>
      <c r="K5" s="34" t="s">
        <v>13</v>
      </c>
      <c r="L5" s="33"/>
      <c r="M5" s="25"/>
      <c r="N5" s="25"/>
      <c r="O5" s="17"/>
      <c r="P5" s="18">
        <v>800</v>
      </c>
      <c r="Q5" s="19" t="s">
        <v>14</v>
      </c>
    </row>
    <row r="6" spans="1:21" ht="15" thickBot="1" x14ac:dyDescent="0.35">
      <c r="A6" s="29" t="s">
        <v>15</v>
      </c>
      <c r="B6" s="30"/>
      <c r="C6" s="35">
        <v>400</v>
      </c>
      <c r="D6" s="36" t="s">
        <v>16</v>
      </c>
      <c r="E6" s="35">
        <v>400</v>
      </c>
      <c r="F6" s="37" t="s">
        <v>16</v>
      </c>
      <c r="G6" s="35">
        <v>400</v>
      </c>
      <c r="H6" s="37" t="s">
        <v>16</v>
      </c>
      <c r="I6" s="35">
        <v>400</v>
      </c>
      <c r="J6" s="38" t="s">
        <v>16</v>
      </c>
      <c r="K6" s="39">
        <v>400</v>
      </c>
      <c r="L6" s="38" t="s">
        <v>16</v>
      </c>
    </row>
    <row r="7" spans="1:21" ht="15" thickBot="1" x14ac:dyDescent="0.35">
      <c r="A7" s="40" t="s">
        <v>17</v>
      </c>
      <c r="B7" s="41" t="s">
        <v>18</v>
      </c>
      <c r="C7" s="42">
        <v>14112</v>
      </c>
      <c r="D7" s="43">
        <v>7458</v>
      </c>
      <c r="E7" s="44">
        <v>17448</v>
      </c>
      <c r="F7" s="43">
        <v>8568</v>
      </c>
      <c r="G7" s="44">
        <v>36288</v>
      </c>
      <c r="H7" s="43">
        <v>17472</v>
      </c>
      <c r="I7" s="44">
        <v>37632</v>
      </c>
      <c r="J7" s="45">
        <v>17784</v>
      </c>
      <c r="K7" s="46">
        <v>42228</v>
      </c>
      <c r="L7" s="47">
        <v>20148</v>
      </c>
    </row>
    <row r="8" spans="1:21" ht="15" thickBot="1" x14ac:dyDescent="0.35">
      <c r="A8" s="48"/>
      <c r="B8" s="49" t="s">
        <v>19</v>
      </c>
      <c r="C8" s="50">
        <v>16128</v>
      </c>
      <c r="D8" s="51">
        <v>8136</v>
      </c>
      <c r="E8" s="52">
        <v>20400</v>
      </c>
      <c r="F8" s="51">
        <v>9270</v>
      </c>
      <c r="G8" s="52">
        <v>40824</v>
      </c>
      <c r="H8" s="51">
        <v>18954</v>
      </c>
      <c r="I8" s="52">
        <v>44256</v>
      </c>
      <c r="J8" s="53">
        <v>18144</v>
      </c>
      <c r="K8" s="54">
        <v>49176</v>
      </c>
      <c r="L8" s="55"/>
      <c r="M8" s="25"/>
      <c r="N8" s="25"/>
      <c r="O8" s="25"/>
    </row>
    <row r="9" spans="1:21" ht="15" thickBot="1" x14ac:dyDescent="0.35">
      <c r="M9" s="25"/>
      <c r="N9" s="25"/>
      <c r="O9" s="25"/>
    </row>
    <row r="10" spans="1:21" ht="15" thickBot="1" x14ac:dyDescent="0.35">
      <c r="C10" s="14" t="s">
        <v>20</v>
      </c>
      <c r="D10" s="15"/>
      <c r="E10" s="15"/>
      <c r="F10" s="15"/>
      <c r="G10" s="15"/>
      <c r="H10" s="15"/>
      <c r="I10" s="15"/>
      <c r="J10" s="15"/>
      <c r="K10" s="15"/>
      <c r="L10" s="16"/>
    </row>
    <row r="11" spans="1:21" ht="15" thickBot="1" x14ac:dyDescent="0.35">
      <c r="A11" s="20" t="s">
        <v>6</v>
      </c>
      <c r="B11" s="21"/>
      <c r="C11" s="22" t="s">
        <v>7</v>
      </c>
      <c r="D11" s="23"/>
      <c r="E11" s="23"/>
      <c r="F11" s="23"/>
      <c r="G11" s="22" t="s">
        <v>8</v>
      </c>
      <c r="H11" s="23"/>
      <c r="I11" s="23"/>
      <c r="J11" s="23"/>
      <c r="K11" s="23"/>
      <c r="L11" s="24"/>
    </row>
    <row r="12" spans="1:21" x14ac:dyDescent="0.3">
      <c r="A12" s="29" t="s">
        <v>10</v>
      </c>
      <c r="B12" s="30"/>
      <c r="C12" s="56" t="s">
        <v>21</v>
      </c>
      <c r="D12" s="57"/>
      <c r="E12" s="56" t="s">
        <v>12</v>
      </c>
      <c r="F12" s="57"/>
      <c r="G12" s="56" t="s">
        <v>11</v>
      </c>
      <c r="H12" s="57"/>
      <c r="I12" s="56" t="s">
        <v>12</v>
      </c>
      <c r="J12" s="58"/>
      <c r="K12" s="31" t="s">
        <v>22</v>
      </c>
      <c r="L12" s="33"/>
      <c r="N12" s="25"/>
      <c r="O12" s="25"/>
      <c r="P12" s="25"/>
    </row>
    <row r="13" spans="1:21" ht="15" thickBot="1" x14ac:dyDescent="0.35">
      <c r="A13" s="29" t="s">
        <v>15</v>
      </c>
      <c r="B13" s="30"/>
      <c r="C13" s="59">
        <v>400</v>
      </c>
      <c r="D13" s="37" t="s">
        <v>16</v>
      </c>
      <c r="E13" s="59">
        <v>400</v>
      </c>
      <c r="F13" s="37" t="s">
        <v>16</v>
      </c>
      <c r="G13" s="59">
        <v>400</v>
      </c>
      <c r="H13" s="37" t="s">
        <v>16</v>
      </c>
      <c r="I13" s="60">
        <v>400</v>
      </c>
      <c r="J13" s="36" t="s">
        <v>16</v>
      </c>
      <c r="K13" s="35">
        <v>400</v>
      </c>
      <c r="L13" s="38" t="s">
        <v>16</v>
      </c>
      <c r="M13" s="25"/>
      <c r="N13" s="25"/>
      <c r="O13" s="25"/>
      <c r="P13" s="25"/>
      <c r="Q13" s="25"/>
      <c r="R13" s="25"/>
      <c r="S13" s="25"/>
      <c r="T13" s="25"/>
      <c r="U13" s="25"/>
    </row>
    <row r="14" spans="1:21" ht="15" thickBot="1" x14ac:dyDescent="0.35">
      <c r="A14" s="29" t="s">
        <v>23</v>
      </c>
      <c r="B14" s="30"/>
      <c r="C14" s="61">
        <v>10</v>
      </c>
      <c r="D14" s="62"/>
      <c r="E14" s="61">
        <v>11</v>
      </c>
      <c r="F14" s="62"/>
      <c r="G14" s="61">
        <v>23</v>
      </c>
      <c r="H14" s="63"/>
      <c r="I14" s="64">
        <v>25</v>
      </c>
      <c r="J14" s="65">
        <v>24</v>
      </c>
      <c r="K14" s="64">
        <v>25</v>
      </c>
      <c r="L14" s="65">
        <v>24</v>
      </c>
      <c r="M14" t="s">
        <v>24</v>
      </c>
      <c r="Q14" s="25"/>
      <c r="R14" s="25"/>
      <c r="S14" s="25"/>
      <c r="T14" s="25"/>
      <c r="U14" s="25"/>
    </row>
    <row r="15" spans="1:21" ht="15" thickBot="1" x14ac:dyDescent="0.35">
      <c r="A15" s="40" t="s">
        <v>25</v>
      </c>
      <c r="B15" s="41" t="s">
        <v>18</v>
      </c>
      <c r="C15" s="66">
        <v>864</v>
      </c>
      <c r="D15" s="67">
        <v>540</v>
      </c>
      <c r="E15" s="66">
        <v>864</v>
      </c>
      <c r="F15" s="68">
        <v>540</v>
      </c>
      <c r="G15" s="66">
        <v>864</v>
      </c>
      <c r="H15" s="67">
        <v>540</v>
      </c>
      <c r="I15" s="69">
        <v>864</v>
      </c>
      <c r="J15" s="70">
        <v>540</v>
      </c>
      <c r="K15" s="71">
        <v>864</v>
      </c>
      <c r="L15" s="72">
        <v>540</v>
      </c>
      <c r="M15" s="25"/>
      <c r="N15" s="25"/>
      <c r="O15" s="25"/>
      <c r="P15" s="25"/>
      <c r="Q15" s="25"/>
      <c r="R15" s="25"/>
      <c r="S15" s="25"/>
      <c r="T15" s="25"/>
      <c r="U15" s="25"/>
    </row>
    <row r="16" spans="1:21" ht="15" thickBot="1" x14ac:dyDescent="0.35">
      <c r="A16" s="48"/>
      <c r="B16" s="49" t="s">
        <v>19</v>
      </c>
      <c r="C16" s="66">
        <v>1008</v>
      </c>
      <c r="D16" s="67"/>
      <c r="E16" s="66">
        <v>1008</v>
      </c>
      <c r="F16" s="68">
        <v>540</v>
      </c>
      <c r="G16" s="66">
        <v>1008</v>
      </c>
      <c r="H16" s="67"/>
      <c r="I16" s="66">
        <v>1008</v>
      </c>
      <c r="J16" s="73"/>
      <c r="K16" s="71">
        <v>1008</v>
      </c>
      <c r="L16" s="72"/>
      <c r="M16" s="25"/>
      <c r="N16" s="25"/>
      <c r="O16" s="25"/>
      <c r="P16" s="25"/>
      <c r="Q16" s="25"/>
      <c r="R16" s="25"/>
      <c r="S16" s="25"/>
      <c r="T16" s="25"/>
      <c r="U16" s="25"/>
    </row>
    <row r="17" spans="1:12" ht="15" thickBot="1" x14ac:dyDescent="0.35">
      <c r="A17" s="40" t="s">
        <v>17</v>
      </c>
      <c r="B17" s="41" t="s">
        <v>18</v>
      </c>
      <c r="C17" s="74">
        <f>C15*C$14</f>
        <v>8640</v>
      </c>
      <c r="D17" s="67">
        <f>D15*C$14</f>
        <v>5400</v>
      </c>
      <c r="E17" s="75">
        <f>E15*E$14</f>
        <v>9504</v>
      </c>
      <c r="F17" s="67">
        <f>F15*E$14</f>
        <v>5940</v>
      </c>
      <c r="G17" s="75" t="s">
        <v>26</v>
      </c>
      <c r="H17" s="67">
        <f>H15*G$14</f>
        <v>12420</v>
      </c>
      <c r="I17" s="75">
        <f>I15*I$14</f>
        <v>21600</v>
      </c>
      <c r="J17" s="73">
        <f>J15*J$14</f>
        <v>12960</v>
      </c>
      <c r="K17" s="44">
        <f>K15*K$14</f>
        <v>21600</v>
      </c>
      <c r="L17" s="72">
        <f>L15*L$14</f>
        <v>12960</v>
      </c>
    </row>
    <row r="18" spans="1:12" ht="15" thickBot="1" x14ac:dyDescent="0.35">
      <c r="A18" s="48"/>
      <c r="B18" s="49" t="s">
        <v>19</v>
      </c>
      <c r="C18" s="76">
        <f>C16*C$14</f>
        <v>10080</v>
      </c>
      <c r="D18" s="77"/>
      <c r="E18" s="78">
        <f>E16*E$14</f>
        <v>11088</v>
      </c>
      <c r="F18" s="77"/>
      <c r="G18" s="78">
        <f>G16*G$14</f>
        <v>23184</v>
      </c>
      <c r="H18" s="77"/>
      <c r="I18" s="78">
        <f>I16*I$14</f>
        <v>25200</v>
      </c>
      <c r="J18" s="79"/>
      <c r="K18" s="52">
        <f>K16*K$14</f>
        <v>25200</v>
      </c>
      <c r="L18" s="80"/>
    </row>
    <row r="19" spans="1:12" ht="15" thickBot="1" x14ac:dyDescent="0.35">
      <c r="A19" s="81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15" thickBot="1" x14ac:dyDescent="0.35">
      <c r="A20" s="4" t="s">
        <v>2</v>
      </c>
      <c r="B20" s="5"/>
      <c r="C20" s="6" t="s">
        <v>27</v>
      </c>
      <c r="D20" s="7"/>
      <c r="E20" s="7"/>
      <c r="F20" s="8"/>
      <c r="G20" s="82"/>
      <c r="H20" s="4" t="s">
        <v>2</v>
      </c>
      <c r="I20" s="5"/>
      <c r="J20" s="83" t="s">
        <v>28</v>
      </c>
      <c r="K20" s="84"/>
    </row>
    <row r="21" spans="1:12" ht="15" thickBot="1" x14ac:dyDescent="0.35">
      <c r="A21" s="12"/>
      <c r="B21" s="13"/>
      <c r="C21" s="85" t="s">
        <v>29</v>
      </c>
      <c r="D21" s="86"/>
      <c r="E21" s="87" t="s">
        <v>30</v>
      </c>
      <c r="F21" s="88"/>
      <c r="G21" s="82"/>
      <c r="H21" s="12"/>
      <c r="I21" s="13"/>
      <c r="J21" s="89"/>
      <c r="K21" s="90"/>
    </row>
    <row r="22" spans="1:12" ht="15" thickBot="1" x14ac:dyDescent="0.35">
      <c r="A22" s="20" t="s">
        <v>15</v>
      </c>
      <c r="B22" s="21"/>
      <c r="C22" s="91">
        <v>400</v>
      </c>
      <c r="D22" s="36" t="s">
        <v>16</v>
      </c>
      <c r="E22" s="92">
        <v>400</v>
      </c>
      <c r="F22" s="93" t="s">
        <v>16</v>
      </c>
      <c r="G22" s="94"/>
      <c r="H22" s="29" t="s">
        <v>15</v>
      </c>
      <c r="I22" s="95"/>
      <c r="J22" s="96">
        <v>400</v>
      </c>
      <c r="K22" s="97" t="s">
        <v>16</v>
      </c>
    </row>
    <row r="23" spans="1:12" ht="15" thickBot="1" x14ac:dyDescent="0.35">
      <c r="A23" s="98" t="s">
        <v>23</v>
      </c>
      <c r="B23" s="99"/>
      <c r="C23" s="100">
        <v>33</v>
      </c>
      <c r="D23" s="101">
        <v>32</v>
      </c>
      <c r="E23" s="100">
        <v>33</v>
      </c>
      <c r="F23" s="102">
        <v>33</v>
      </c>
      <c r="G23" s="94"/>
      <c r="H23" s="29" t="s">
        <v>23</v>
      </c>
      <c r="I23" s="95"/>
      <c r="J23" s="103">
        <v>1</v>
      </c>
      <c r="K23" s="104"/>
    </row>
    <row r="24" spans="1:12" ht="15" thickBot="1" x14ac:dyDescent="0.35">
      <c r="A24" s="40" t="s">
        <v>25</v>
      </c>
      <c r="B24" s="41" t="s">
        <v>18</v>
      </c>
      <c r="C24" s="105">
        <v>864</v>
      </c>
      <c r="D24" s="106">
        <v>540</v>
      </c>
      <c r="E24" s="107">
        <v>1080</v>
      </c>
      <c r="F24" s="108">
        <v>648</v>
      </c>
      <c r="G24" s="109"/>
      <c r="H24" s="110" t="s">
        <v>31</v>
      </c>
      <c r="I24" s="111"/>
      <c r="J24" s="112" t="s">
        <v>32</v>
      </c>
      <c r="K24" s="112" t="s">
        <v>32</v>
      </c>
    </row>
    <row r="25" spans="1:12" ht="15" thickBot="1" x14ac:dyDescent="0.35">
      <c r="A25" s="48"/>
      <c r="B25" s="49" t="s">
        <v>19</v>
      </c>
      <c r="C25" s="113">
        <v>1008</v>
      </c>
      <c r="D25" s="114"/>
      <c r="E25" s="113">
        <v>1224</v>
      </c>
      <c r="F25" s="115"/>
      <c r="G25" s="94"/>
      <c r="H25" s="116" t="s">
        <v>33</v>
      </c>
      <c r="I25" s="117"/>
      <c r="J25" s="118" t="s">
        <v>34</v>
      </c>
      <c r="K25" s="119" t="s">
        <v>35</v>
      </c>
    </row>
    <row r="26" spans="1:12" ht="15" thickBot="1" x14ac:dyDescent="0.35">
      <c r="A26" s="40" t="s">
        <v>17</v>
      </c>
      <c r="B26" s="41" t="s">
        <v>18</v>
      </c>
      <c r="C26" s="120">
        <v>28512</v>
      </c>
      <c r="D26" s="114">
        <v>17280</v>
      </c>
      <c r="E26" s="120">
        <v>35640</v>
      </c>
      <c r="F26" s="114">
        <v>21384</v>
      </c>
      <c r="G26" s="94"/>
      <c r="H26" s="40" t="s">
        <v>17</v>
      </c>
      <c r="I26" s="121" t="s">
        <v>18</v>
      </c>
      <c r="J26" s="112">
        <v>648</v>
      </c>
      <c r="K26" s="122">
        <v>378</v>
      </c>
    </row>
    <row r="27" spans="1:12" ht="15" thickBot="1" x14ac:dyDescent="0.35">
      <c r="A27" s="48"/>
      <c r="B27" s="49" t="s">
        <v>19</v>
      </c>
      <c r="C27" s="123">
        <v>33264</v>
      </c>
      <c r="D27" s="124"/>
      <c r="E27" s="123">
        <v>40392</v>
      </c>
      <c r="F27" s="124"/>
      <c r="G27" s="94"/>
      <c r="H27" s="48"/>
      <c r="I27" s="125" t="s">
        <v>19</v>
      </c>
      <c r="J27" s="112">
        <v>720</v>
      </c>
      <c r="K27" s="126"/>
    </row>
  </sheetData>
  <mergeCells count="65">
    <mergeCell ref="A26:A27"/>
    <mergeCell ref="D26:D27"/>
    <mergeCell ref="F26:F27"/>
    <mergeCell ref="H26:H27"/>
    <mergeCell ref="K26:K27"/>
    <mergeCell ref="A22:B22"/>
    <mergeCell ref="H22:I22"/>
    <mergeCell ref="A23:B23"/>
    <mergeCell ref="H23:I23"/>
    <mergeCell ref="J23:K23"/>
    <mergeCell ref="A24:A25"/>
    <mergeCell ref="D24:D25"/>
    <mergeCell ref="F24:F25"/>
    <mergeCell ref="H24:I24"/>
    <mergeCell ref="H25:I25"/>
    <mergeCell ref="A20:B21"/>
    <mergeCell ref="C20:F20"/>
    <mergeCell ref="H20:I21"/>
    <mergeCell ref="J20:K21"/>
    <mergeCell ref="C21:D21"/>
    <mergeCell ref="E21:F21"/>
    <mergeCell ref="J15:J16"/>
    <mergeCell ref="L15:L16"/>
    <mergeCell ref="A17:A18"/>
    <mergeCell ref="D17:D18"/>
    <mergeCell ref="F17:F18"/>
    <mergeCell ref="H17:H18"/>
    <mergeCell ref="J17:J18"/>
    <mergeCell ref="L17:L18"/>
    <mergeCell ref="A13:B13"/>
    <mergeCell ref="A14:B14"/>
    <mergeCell ref="C14:D14"/>
    <mergeCell ref="E14:F14"/>
    <mergeCell ref="G14:H14"/>
    <mergeCell ref="A15:A16"/>
    <mergeCell ref="D15:D16"/>
    <mergeCell ref="H15:H16"/>
    <mergeCell ref="A12:B12"/>
    <mergeCell ref="C12:D12"/>
    <mergeCell ref="E12:F12"/>
    <mergeCell ref="G12:H12"/>
    <mergeCell ref="I12:J12"/>
    <mergeCell ref="K12:L12"/>
    <mergeCell ref="A7:A8"/>
    <mergeCell ref="L7:L8"/>
    <mergeCell ref="C10:L10"/>
    <mergeCell ref="A11:B11"/>
    <mergeCell ref="C11:F11"/>
    <mergeCell ref="G11:L11"/>
    <mergeCell ref="C5:D5"/>
    <mergeCell ref="E5:F5"/>
    <mergeCell ref="G5:H5"/>
    <mergeCell ref="I5:J5"/>
    <mergeCell ref="K5:L5"/>
    <mergeCell ref="A6:B6"/>
    <mergeCell ref="O1:P1"/>
    <mergeCell ref="A2:B3"/>
    <mergeCell ref="C2:L2"/>
    <mergeCell ref="O2:O3"/>
    <mergeCell ref="C3:L3"/>
    <mergeCell ref="A4:B4"/>
    <mergeCell ref="C4:F4"/>
    <mergeCell ref="G4:L4"/>
    <mergeCell ref="O4:O5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60AF-BEDC-4E08-B946-71B17317DC20}">
  <dimension ref="A1:J502"/>
  <sheetViews>
    <sheetView tabSelected="1" workbookViewId="0">
      <selection activeCell="D9" sqref="D9"/>
    </sheetView>
  </sheetViews>
  <sheetFormatPr defaultRowHeight="14.4" x14ac:dyDescent="0.3"/>
  <cols>
    <col min="2" max="2" width="29.6640625" style="212" customWidth="1"/>
    <col min="3" max="3" width="23.44140625" customWidth="1"/>
    <col min="4" max="4" width="14" customWidth="1"/>
    <col min="5" max="10" width="23.44140625" customWidth="1"/>
  </cols>
  <sheetData>
    <row r="1" spans="1:10" ht="15" thickBot="1" x14ac:dyDescent="0.35">
      <c r="A1" s="196" t="s">
        <v>36</v>
      </c>
      <c r="B1" s="199" t="s">
        <v>37</v>
      </c>
      <c r="C1" s="197" t="s">
        <v>38</v>
      </c>
      <c r="D1" s="197" t="s">
        <v>36</v>
      </c>
      <c r="E1" s="197" t="s">
        <v>39</v>
      </c>
      <c r="F1" s="197" t="s">
        <v>40</v>
      </c>
      <c r="G1" s="197" t="s">
        <v>41</v>
      </c>
      <c r="H1" s="197" t="s">
        <v>42</v>
      </c>
      <c r="I1" s="197" t="s">
        <v>43</v>
      </c>
      <c r="J1" s="198" t="s">
        <v>44</v>
      </c>
    </row>
    <row r="2" spans="1:10" x14ac:dyDescent="0.3">
      <c r="A2" s="127" t="s">
        <v>45</v>
      </c>
      <c r="B2" s="200" t="s">
        <v>46</v>
      </c>
      <c r="C2" s="128" t="s">
        <v>47</v>
      </c>
      <c r="D2" s="128" t="s">
        <v>45</v>
      </c>
      <c r="E2" s="128" t="s">
        <v>48</v>
      </c>
      <c r="F2" s="128" t="str">
        <f t="shared" ref="F2:F70" si="0">+_xlfn.CONCAT(D2,G2)</f>
        <v>TunisiaMLPRHHMN0140002</v>
      </c>
      <c r="G2" s="129" t="s">
        <v>49</v>
      </c>
      <c r="H2" s="129">
        <v>16454305</v>
      </c>
      <c r="I2" s="130" t="s">
        <v>50</v>
      </c>
      <c r="J2" s="131" t="s">
        <v>51</v>
      </c>
    </row>
    <row r="3" spans="1:10" x14ac:dyDescent="0.3">
      <c r="A3" s="132"/>
      <c r="B3" s="201"/>
      <c r="C3" s="133" t="s">
        <v>47</v>
      </c>
      <c r="D3" s="133" t="s">
        <v>45</v>
      </c>
      <c r="E3" s="133" t="s">
        <v>48</v>
      </c>
      <c r="F3" s="134" t="str">
        <f t="shared" si="0"/>
        <v>TunisiaMLPRHHMN0240002</v>
      </c>
      <c r="G3" s="135" t="s">
        <v>52</v>
      </c>
      <c r="H3" s="135">
        <v>16456305</v>
      </c>
      <c r="I3" s="136" t="s">
        <v>53</v>
      </c>
      <c r="J3" s="137" t="s">
        <v>51</v>
      </c>
    </row>
    <row r="4" spans="1:10" x14ac:dyDescent="0.3">
      <c r="A4" s="132"/>
      <c r="B4" s="201"/>
      <c r="C4" s="133" t="s">
        <v>47</v>
      </c>
      <c r="D4" s="133" t="s">
        <v>45</v>
      </c>
      <c r="E4" s="133" t="s">
        <v>48</v>
      </c>
      <c r="F4" s="135" t="str">
        <f t="shared" si="0"/>
        <v>TunisiaMLPRHHMN0340002</v>
      </c>
      <c r="G4" s="138" t="s">
        <v>54</v>
      </c>
      <c r="H4" s="135">
        <v>16458305</v>
      </c>
      <c r="I4" s="136" t="s">
        <v>55</v>
      </c>
      <c r="J4" s="137" t="s">
        <v>51</v>
      </c>
    </row>
    <row r="5" spans="1:10" x14ac:dyDescent="0.3">
      <c r="A5" s="132"/>
      <c r="B5" s="201" t="s">
        <v>46</v>
      </c>
      <c r="C5" s="133" t="s">
        <v>47</v>
      </c>
      <c r="D5" s="133" t="s">
        <v>45</v>
      </c>
      <c r="E5" s="133" t="s">
        <v>48</v>
      </c>
      <c r="F5" s="134" t="str">
        <f t="shared" si="0"/>
        <v>TunisiaMLPRHHMN0440002</v>
      </c>
      <c r="G5" s="134" t="s">
        <v>56</v>
      </c>
      <c r="H5" s="134">
        <v>16593305</v>
      </c>
      <c r="I5" s="139" t="s">
        <v>57</v>
      </c>
      <c r="J5" s="137" t="s">
        <v>51</v>
      </c>
    </row>
    <row r="6" spans="1:10" x14ac:dyDescent="0.3">
      <c r="A6" s="132"/>
      <c r="B6" s="201"/>
      <c r="C6" s="133" t="s">
        <v>47</v>
      </c>
      <c r="D6" s="133" t="s">
        <v>45</v>
      </c>
      <c r="E6" s="133" t="s">
        <v>48</v>
      </c>
      <c r="F6" s="135" t="str">
        <f t="shared" si="0"/>
        <v>TunisiaMLPRHHMN0540001</v>
      </c>
      <c r="G6" s="138" t="s">
        <v>58</v>
      </c>
      <c r="H6" s="138">
        <v>16613305</v>
      </c>
      <c r="I6" s="136" t="s">
        <v>59</v>
      </c>
      <c r="J6" s="137" t="s">
        <v>51</v>
      </c>
    </row>
    <row r="7" spans="1:10" x14ac:dyDescent="0.3">
      <c r="A7" s="132"/>
      <c r="B7" s="201" t="s">
        <v>46</v>
      </c>
      <c r="C7" s="133" t="s">
        <v>47</v>
      </c>
      <c r="D7" s="133" t="s">
        <v>45</v>
      </c>
      <c r="E7" s="133" t="s">
        <v>48</v>
      </c>
      <c r="F7" s="134" t="str">
        <f t="shared" si="0"/>
        <v>TunisiaMLPRHHMN1140002</v>
      </c>
      <c r="G7" s="134" t="s">
        <v>60</v>
      </c>
      <c r="H7" s="134">
        <v>16465305</v>
      </c>
      <c r="I7" s="140" t="s">
        <v>61</v>
      </c>
      <c r="J7" s="137" t="s">
        <v>51</v>
      </c>
    </row>
    <row r="8" spans="1:10" x14ac:dyDescent="0.3">
      <c r="A8" s="132"/>
      <c r="B8" s="201"/>
      <c r="C8" s="133" t="s">
        <v>47</v>
      </c>
      <c r="D8" s="133" t="s">
        <v>45</v>
      </c>
      <c r="E8" s="133" t="s">
        <v>48</v>
      </c>
      <c r="F8" s="135" t="str">
        <f t="shared" si="0"/>
        <v>TunisiaMLPRHHMN1440001</v>
      </c>
      <c r="G8" s="135" t="s">
        <v>62</v>
      </c>
      <c r="H8" s="135">
        <v>16466305</v>
      </c>
      <c r="I8" s="136" t="s">
        <v>63</v>
      </c>
      <c r="J8" s="137" t="s">
        <v>51</v>
      </c>
    </row>
    <row r="9" spans="1:10" x14ac:dyDescent="0.3">
      <c r="A9" s="132"/>
      <c r="B9" s="201" t="s">
        <v>46</v>
      </c>
      <c r="C9" s="133" t="s">
        <v>47</v>
      </c>
      <c r="D9" s="133" t="s">
        <v>45</v>
      </c>
      <c r="E9" s="133" t="s">
        <v>48</v>
      </c>
      <c r="F9" s="141" t="str">
        <f t="shared" si="0"/>
        <v>TunisiaMLPRFCMN1540001</v>
      </c>
      <c r="G9" s="141" t="s">
        <v>64</v>
      </c>
      <c r="H9" s="141">
        <v>408341</v>
      </c>
      <c r="I9" s="136" t="s">
        <v>65</v>
      </c>
      <c r="J9" s="137" t="s">
        <v>66</v>
      </c>
    </row>
    <row r="10" spans="1:10" x14ac:dyDescent="0.3">
      <c r="A10" s="132"/>
      <c r="B10" s="201"/>
      <c r="C10" s="133" t="s">
        <v>47</v>
      </c>
      <c r="D10" s="133" t="s">
        <v>45</v>
      </c>
      <c r="E10" s="133" t="s">
        <v>48</v>
      </c>
      <c r="F10" s="141" t="str">
        <f t="shared" si="0"/>
        <v>TunisiaMLPRHHMN0190002</v>
      </c>
      <c r="G10" s="135" t="s">
        <v>67</v>
      </c>
      <c r="H10" s="135">
        <v>16454343</v>
      </c>
      <c r="I10" s="136" t="s">
        <v>68</v>
      </c>
      <c r="J10" s="137" t="s">
        <v>51</v>
      </c>
    </row>
    <row r="11" spans="1:10" x14ac:dyDescent="0.3">
      <c r="A11" s="132"/>
      <c r="B11" s="201"/>
      <c r="C11" s="133" t="s">
        <v>47</v>
      </c>
      <c r="D11" s="133" t="s">
        <v>45</v>
      </c>
      <c r="E11" s="133" t="s">
        <v>48</v>
      </c>
      <c r="F11" s="142" t="str">
        <f t="shared" si="0"/>
        <v>TunisiaMLPRHHMN0290002</v>
      </c>
      <c r="G11" s="135" t="s">
        <v>69</v>
      </c>
      <c r="H11" s="135">
        <v>16456343</v>
      </c>
      <c r="I11" s="136" t="s">
        <v>70</v>
      </c>
      <c r="J11" s="137" t="s">
        <v>51</v>
      </c>
    </row>
    <row r="12" spans="1:10" x14ac:dyDescent="0.3">
      <c r="A12" s="132"/>
      <c r="B12" s="201"/>
      <c r="C12" s="133" t="s">
        <v>47</v>
      </c>
      <c r="D12" s="133" t="s">
        <v>45</v>
      </c>
      <c r="E12" s="133" t="s">
        <v>48</v>
      </c>
      <c r="F12" s="143" t="str">
        <f t="shared" si="0"/>
        <v>TunisiaMLPRHHMN0390003</v>
      </c>
      <c r="G12" s="135" t="s">
        <v>71</v>
      </c>
      <c r="H12" s="135">
        <v>16458343</v>
      </c>
      <c r="I12" s="136" t="s">
        <v>72</v>
      </c>
      <c r="J12" s="137" t="s">
        <v>51</v>
      </c>
    </row>
    <row r="13" spans="1:10" x14ac:dyDescent="0.3">
      <c r="A13" s="132"/>
      <c r="B13" s="201"/>
      <c r="C13" s="133" t="s">
        <v>47</v>
      </c>
      <c r="D13" s="133" t="s">
        <v>45</v>
      </c>
      <c r="E13" s="133" t="s">
        <v>48</v>
      </c>
      <c r="F13" s="135" t="str">
        <f t="shared" si="0"/>
        <v>TunisiaMLPRHHMN0490002</v>
      </c>
      <c r="G13" s="135" t="s">
        <v>73</v>
      </c>
      <c r="H13" s="135">
        <v>16593343</v>
      </c>
      <c r="I13" s="136" t="s">
        <v>74</v>
      </c>
      <c r="J13" s="137" t="s">
        <v>51</v>
      </c>
    </row>
    <row r="14" spans="1:10" x14ac:dyDescent="0.3">
      <c r="A14" s="132"/>
      <c r="B14" s="201" t="s">
        <v>46</v>
      </c>
      <c r="C14" s="133" t="s">
        <v>47</v>
      </c>
      <c r="D14" s="133" t="s">
        <v>45</v>
      </c>
      <c r="E14" s="133" t="s">
        <v>48</v>
      </c>
      <c r="F14" s="141" t="str">
        <f t="shared" si="0"/>
        <v>TunisiaMLPUHHMN0140001</v>
      </c>
      <c r="G14" s="135" t="s">
        <v>75</v>
      </c>
      <c r="H14" s="135">
        <v>16249335</v>
      </c>
      <c r="I14" s="136" t="s">
        <v>76</v>
      </c>
      <c r="J14" s="137" t="s">
        <v>51</v>
      </c>
    </row>
    <row r="15" spans="1:10" x14ac:dyDescent="0.3">
      <c r="A15" s="132"/>
      <c r="B15" s="201" t="s">
        <v>46</v>
      </c>
      <c r="C15" s="133" t="s">
        <v>47</v>
      </c>
      <c r="D15" s="133" t="s">
        <v>45</v>
      </c>
      <c r="E15" s="133" t="s">
        <v>48</v>
      </c>
      <c r="F15" s="141" t="str">
        <f t="shared" si="0"/>
        <v>TunisiaMLPUHHMN0240001</v>
      </c>
      <c r="G15" s="141" t="s">
        <v>77</v>
      </c>
      <c r="H15" s="141">
        <v>16250335</v>
      </c>
      <c r="I15" s="136" t="s">
        <v>78</v>
      </c>
      <c r="J15" s="137" t="s">
        <v>51</v>
      </c>
    </row>
    <row r="16" spans="1:10" x14ac:dyDescent="0.3">
      <c r="A16" s="132"/>
      <c r="B16" s="201" t="s">
        <v>46</v>
      </c>
      <c r="C16" s="133" t="s">
        <v>47</v>
      </c>
      <c r="D16" s="133" t="s">
        <v>45</v>
      </c>
      <c r="E16" s="133" t="s">
        <v>48</v>
      </c>
      <c r="F16" s="141" t="str">
        <f t="shared" si="0"/>
        <v>TunisiaMLPUHHMN0340001</v>
      </c>
      <c r="G16" s="141" t="s">
        <v>79</v>
      </c>
      <c r="H16" s="141">
        <v>16251335</v>
      </c>
      <c r="I16" s="136" t="s">
        <v>80</v>
      </c>
      <c r="J16" s="137" t="s">
        <v>51</v>
      </c>
    </row>
    <row r="17" spans="1:10" x14ac:dyDescent="0.3">
      <c r="A17" s="132"/>
      <c r="B17" s="201" t="s">
        <v>46</v>
      </c>
      <c r="C17" s="133" t="s">
        <v>47</v>
      </c>
      <c r="D17" s="133" t="s">
        <v>45</v>
      </c>
      <c r="E17" s="133" t="s">
        <v>48</v>
      </c>
      <c r="F17" s="133" t="str">
        <f t="shared" si="0"/>
        <v>TunisiaMLPUHHMN0440001</v>
      </c>
      <c r="G17" s="133" t="s">
        <v>81</v>
      </c>
      <c r="H17" s="133">
        <v>16252335</v>
      </c>
      <c r="I17" s="139" t="s">
        <v>82</v>
      </c>
      <c r="J17" s="137" t="s">
        <v>51</v>
      </c>
    </row>
    <row r="18" spans="1:10" ht="15" thickBot="1" x14ac:dyDescent="0.35">
      <c r="A18" s="144"/>
      <c r="B18" s="202"/>
      <c r="C18" s="145" t="s">
        <v>47</v>
      </c>
      <c r="D18" s="145" t="s">
        <v>45</v>
      </c>
      <c r="E18" s="145" t="s">
        <v>48</v>
      </c>
      <c r="F18" s="146" t="str">
        <f t="shared" si="0"/>
        <v>TunisiaMLPUHHMN0540001</v>
      </c>
      <c r="G18" s="146" t="s">
        <v>83</v>
      </c>
      <c r="H18" s="146">
        <v>16711335</v>
      </c>
      <c r="I18" s="147" t="s">
        <v>84</v>
      </c>
      <c r="J18" s="148" t="s">
        <v>51</v>
      </c>
    </row>
    <row r="19" spans="1:10" x14ac:dyDescent="0.3">
      <c r="A19" s="127" t="s">
        <v>85</v>
      </c>
      <c r="B19" s="200" t="s">
        <v>86</v>
      </c>
      <c r="C19" s="128" t="s">
        <v>47</v>
      </c>
      <c r="D19" s="128" t="s">
        <v>85</v>
      </c>
      <c r="E19" s="128" t="s">
        <v>87</v>
      </c>
      <c r="F19" s="149" t="str">
        <f t="shared" si="0"/>
        <v>AlgeriaMLPRHHMN0140002</v>
      </c>
      <c r="G19" s="150" t="s">
        <v>49</v>
      </c>
      <c r="H19" s="150">
        <v>16454305</v>
      </c>
      <c r="I19" s="130" t="s">
        <v>50</v>
      </c>
      <c r="J19" s="131" t="s">
        <v>51</v>
      </c>
    </row>
    <row r="20" spans="1:10" x14ac:dyDescent="0.3">
      <c r="A20" s="132"/>
      <c r="B20" s="201"/>
      <c r="C20" s="133" t="s">
        <v>47</v>
      </c>
      <c r="D20" s="133" t="s">
        <v>85</v>
      </c>
      <c r="E20" s="133" t="s">
        <v>87</v>
      </c>
      <c r="F20" s="133" t="str">
        <f t="shared" si="0"/>
        <v>AlgeriaMLPRHHMN0240002</v>
      </c>
      <c r="G20" s="133" t="s">
        <v>52</v>
      </c>
      <c r="H20" s="135">
        <v>16456305</v>
      </c>
      <c r="I20" s="136" t="s">
        <v>53</v>
      </c>
      <c r="J20" s="137" t="s">
        <v>51</v>
      </c>
    </row>
    <row r="21" spans="1:10" x14ac:dyDescent="0.3">
      <c r="A21" s="132"/>
      <c r="B21" s="201"/>
      <c r="C21" s="133" t="s">
        <v>47</v>
      </c>
      <c r="D21" s="133" t="s">
        <v>85</v>
      </c>
      <c r="E21" s="133" t="s">
        <v>87</v>
      </c>
      <c r="F21" s="133" t="str">
        <f t="shared" si="0"/>
        <v>AlgeriaMLPRHHMN0340002</v>
      </c>
      <c r="G21" s="133" t="s">
        <v>54</v>
      </c>
      <c r="H21" s="141">
        <v>16458305</v>
      </c>
      <c r="I21" s="139" t="s">
        <v>55</v>
      </c>
      <c r="J21" s="137" t="s">
        <v>51</v>
      </c>
    </row>
    <row r="22" spans="1:10" x14ac:dyDescent="0.3">
      <c r="A22" s="132" t="s">
        <v>85</v>
      </c>
      <c r="B22" s="201" t="s">
        <v>86</v>
      </c>
      <c r="C22" s="133" t="s">
        <v>47</v>
      </c>
      <c r="D22" s="133" t="s">
        <v>85</v>
      </c>
      <c r="E22" s="133" t="s">
        <v>87</v>
      </c>
      <c r="F22" s="133" t="str">
        <f t="shared" si="0"/>
        <v>AlgeriaMLPRHHMN0440002</v>
      </c>
      <c r="G22" s="133" t="s">
        <v>56</v>
      </c>
      <c r="H22" s="135">
        <v>16593305</v>
      </c>
      <c r="I22" s="136" t="s">
        <v>57</v>
      </c>
      <c r="J22" s="137" t="s">
        <v>51</v>
      </c>
    </row>
    <row r="23" spans="1:10" x14ac:dyDescent="0.3">
      <c r="A23" s="132"/>
      <c r="B23" s="201"/>
      <c r="C23" s="133" t="s">
        <v>47</v>
      </c>
      <c r="D23" s="133" t="s">
        <v>85</v>
      </c>
      <c r="E23" s="133" t="s">
        <v>87</v>
      </c>
      <c r="F23" s="143" t="str">
        <f t="shared" si="0"/>
        <v>AlgeriaMLPRHHMN0540001</v>
      </c>
      <c r="G23" s="133" t="s">
        <v>58</v>
      </c>
      <c r="H23" s="141">
        <v>16613305</v>
      </c>
      <c r="I23" s="139" t="s">
        <v>59</v>
      </c>
      <c r="J23" s="137" t="s">
        <v>51</v>
      </c>
    </row>
    <row r="24" spans="1:10" x14ac:dyDescent="0.3">
      <c r="A24" s="132" t="s">
        <v>85</v>
      </c>
      <c r="B24" s="201" t="s">
        <v>86</v>
      </c>
      <c r="C24" s="133" t="s">
        <v>47</v>
      </c>
      <c r="D24" s="133" t="s">
        <v>85</v>
      </c>
      <c r="E24" s="133" t="s">
        <v>87</v>
      </c>
      <c r="F24" s="141" t="str">
        <f t="shared" si="0"/>
        <v>AlgeriaMLPRHHMN1140002</v>
      </c>
      <c r="G24" s="133" t="s">
        <v>60</v>
      </c>
      <c r="H24" s="135">
        <v>16465305</v>
      </c>
      <c r="I24" s="136" t="s">
        <v>61</v>
      </c>
      <c r="J24" s="137" t="s">
        <v>51</v>
      </c>
    </row>
    <row r="25" spans="1:10" x14ac:dyDescent="0.3">
      <c r="A25" s="132"/>
      <c r="B25" s="201"/>
      <c r="C25" s="133" t="s">
        <v>47</v>
      </c>
      <c r="D25" s="133" t="s">
        <v>85</v>
      </c>
      <c r="E25" s="133" t="s">
        <v>87</v>
      </c>
      <c r="F25" s="141" t="str">
        <f t="shared" si="0"/>
        <v>AlgeriaMLPRHHMN1440001</v>
      </c>
      <c r="G25" s="133" t="s">
        <v>62</v>
      </c>
      <c r="H25" s="141">
        <v>16466305</v>
      </c>
      <c r="I25" s="139" t="s">
        <v>63</v>
      </c>
      <c r="J25" s="137" t="s">
        <v>51</v>
      </c>
    </row>
    <row r="26" spans="1:10" x14ac:dyDescent="0.3">
      <c r="A26" s="132"/>
      <c r="B26" s="201"/>
      <c r="C26" s="133" t="s">
        <v>47</v>
      </c>
      <c r="D26" s="133" t="s">
        <v>85</v>
      </c>
      <c r="E26" s="133" t="s">
        <v>87</v>
      </c>
      <c r="F26" s="141" t="str">
        <f t="shared" si="0"/>
        <v>AlgeriaMLPRHHMN0190002</v>
      </c>
      <c r="G26" s="141" t="s">
        <v>67</v>
      </c>
      <c r="H26" s="133">
        <v>16454343</v>
      </c>
      <c r="I26" s="136" t="s">
        <v>68</v>
      </c>
      <c r="J26" s="137" t="s">
        <v>51</v>
      </c>
    </row>
    <row r="27" spans="1:10" x14ac:dyDescent="0.3">
      <c r="A27" s="132"/>
      <c r="B27" s="201"/>
      <c r="C27" s="133" t="s">
        <v>47</v>
      </c>
      <c r="D27" s="133" t="s">
        <v>85</v>
      </c>
      <c r="E27" s="133" t="s">
        <v>87</v>
      </c>
      <c r="F27" s="141" t="str">
        <f t="shared" si="0"/>
        <v>AlgeriaMLPRHHMN0290002</v>
      </c>
      <c r="G27" s="141" t="s">
        <v>69</v>
      </c>
      <c r="H27" s="133">
        <v>16456343</v>
      </c>
      <c r="I27" s="139" t="s">
        <v>70</v>
      </c>
      <c r="J27" s="137" t="s">
        <v>51</v>
      </c>
    </row>
    <row r="28" spans="1:10" x14ac:dyDescent="0.3">
      <c r="A28" s="132"/>
      <c r="B28" s="201"/>
      <c r="C28" s="133" t="s">
        <v>47</v>
      </c>
      <c r="D28" s="133" t="s">
        <v>85</v>
      </c>
      <c r="E28" s="133" t="s">
        <v>87</v>
      </c>
      <c r="F28" s="133" t="str">
        <f t="shared" si="0"/>
        <v>AlgeriaMLPRHHMN0390003</v>
      </c>
      <c r="G28" s="133" t="s">
        <v>71</v>
      </c>
      <c r="H28" s="135">
        <v>16458343</v>
      </c>
      <c r="I28" s="136" t="s">
        <v>72</v>
      </c>
      <c r="J28" s="137" t="s">
        <v>51</v>
      </c>
    </row>
    <row r="29" spans="1:10" x14ac:dyDescent="0.3">
      <c r="A29" s="132"/>
      <c r="B29" s="201"/>
      <c r="C29" s="133" t="s">
        <v>47</v>
      </c>
      <c r="D29" s="133" t="s">
        <v>85</v>
      </c>
      <c r="E29" s="133" t="s">
        <v>87</v>
      </c>
      <c r="F29" s="141" t="str">
        <f t="shared" si="0"/>
        <v>AlgeriaMLPRHHMN0490002</v>
      </c>
      <c r="G29" s="141" t="s">
        <v>73</v>
      </c>
      <c r="H29" s="133">
        <v>16593343</v>
      </c>
      <c r="I29" s="140" t="s">
        <v>74</v>
      </c>
      <c r="J29" s="137" t="s">
        <v>51</v>
      </c>
    </row>
    <row r="30" spans="1:10" x14ac:dyDescent="0.3">
      <c r="A30" s="132"/>
      <c r="B30" s="201"/>
      <c r="C30" s="133" t="s">
        <v>47</v>
      </c>
      <c r="D30" s="133" t="s">
        <v>85</v>
      </c>
      <c r="E30" s="133" t="s">
        <v>87</v>
      </c>
      <c r="F30" s="133" t="str">
        <f t="shared" si="0"/>
        <v>AlgeriaCRPRBLMN0620001</v>
      </c>
      <c r="G30" s="133" t="s">
        <v>88</v>
      </c>
      <c r="H30" s="133" t="s">
        <v>89</v>
      </c>
      <c r="I30" s="151" t="s">
        <v>90</v>
      </c>
      <c r="J30" s="137" t="s">
        <v>91</v>
      </c>
    </row>
    <row r="31" spans="1:10" x14ac:dyDescent="0.3">
      <c r="A31" s="132"/>
      <c r="B31" s="201"/>
      <c r="C31" s="133" t="s">
        <v>47</v>
      </c>
      <c r="D31" s="133" t="s">
        <v>85</v>
      </c>
      <c r="E31" s="133" t="s">
        <v>87</v>
      </c>
      <c r="F31" s="133" t="str">
        <f t="shared" si="0"/>
        <v>AlgeriaCRPRBLMN0120001</v>
      </c>
      <c r="G31" s="133" t="s">
        <v>92</v>
      </c>
      <c r="H31" s="133" t="s">
        <v>93</v>
      </c>
      <c r="I31" s="152" t="s">
        <v>94</v>
      </c>
      <c r="J31" s="137" t="s">
        <v>91</v>
      </c>
    </row>
    <row r="32" spans="1:10" x14ac:dyDescent="0.3">
      <c r="A32" s="132"/>
      <c r="B32" s="201"/>
      <c r="C32" s="133" t="s">
        <v>47</v>
      </c>
      <c r="D32" s="133" t="s">
        <v>85</v>
      </c>
      <c r="E32" s="133" t="s">
        <v>87</v>
      </c>
      <c r="F32" s="153" t="str">
        <f t="shared" si="0"/>
        <v>AlgeriaCRPRBLMN0320001</v>
      </c>
      <c r="G32" s="133" t="s">
        <v>95</v>
      </c>
      <c r="H32" s="133" t="s">
        <v>96</v>
      </c>
      <c r="I32" s="139" t="s">
        <v>97</v>
      </c>
      <c r="J32" s="137" t="s">
        <v>91</v>
      </c>
    </row>
    <row r="33" spans="1:10" x14ac:dyDescent="0.3">
      <c r="A33" s="132"/>
      <c r="B33" s="201"/>
      <c r="C33" s="133" t="s">
        <v>47</v>
      </c>
      <c r="D33" s="133" t="s">
        <v>85</v>
      </c>
      <c r="E33" s="133" t="s">
        <v>87</v>
      </c>
      <c r="F33" s="133" t="str">
        <f t="shared" si="0"/>
        <v>AlgeriaCRPRBLMN0220001</v>
      </c>
      <c r="G33" s="133" t="s">
        <v>98</v>
      </c>
      <c r="H33" s="133" t="s">
        <v>99</v>
      </c>
      <c r="I33" s="136" t="s">
        <v>100</v>
      </c>
      <c r="J33" s="137" t="s">
        <v>91</v>
      </c>
    </row>
    <row r="34" spans="1:10" x14ac:dyDescent="0.3">
      <c r="A34" s="132"/>
      <c r="B34" s="201"/>
      <c r="C34" s="133" t="s">
        <v>101</v>
      </c>
      <c r="D34" s="133" t="s">
        <v>85</v>
      </c>
      <c r="E34" s="133" t="s">
        <v>87</v>
      </c>
      <c r="F34" s="133" t="str">
        <f t="shared" si="0"/>
        <v>AlgeriaMLNUDKAF0140001</v>
      </c>
      <c r="G34" s="141" t="s">
        <v>102</v>
      </c>
      <c r="H34" s="141">
        <v>71116</v>
      </c>
      <c r="I34" s="136" t="s">
        <v>103</v>
      </c>
      <c r="J34" s="137" t="s">
        <v>104</v>
      </c>
    </row>
    <row r="35" spans="1:10" x14ac:dyDescent="0.3">
      <c r="A35" s="132"/>
      <c r="B35" s="201"/>
      <c r="C35" s="133" t="s">
        <v>101</v>
      </c>
      <c r="D35" s="133" t="s">
        <v>85</v>
      </c>
      <c r="E35" s="133" t="s">
        <v>87</v>
      </c>
      <c r="F35" s="133" t="str">
        <f t="shared" si="0"/>
        <v>AlgeriaMLNUDKAF0240001</v>
      </c>
      <c r="G35" s="141" t="s">
        <v>105</v>
      </c>
      <c r="H35" s="141">
        <v>71117</v>
      </c>
      <c r="I35" s="136" t="s">
        <v>106</v>
      </c>
      <c r="J35" s="137" t="s">
        <v>104</v>
      </c>
    </row>
    <row r="36" spans="1:10" x14ac:dyDescent="0.3">
      <c r="A36" s="132"/>
      <c r="B36" s="201"/>
      <c r="C36" s="133" t="s">
        <v>101</v>
      </c>
      <c r="D36" s="133" t="s">
        <v>85</v>
      </c>
      <c r="E36" s="133" t="s">
        <v>87</v>
      </c>
      <c r="F36" s="133" t="str">
        <f t="shared" si="0"/>
        <v>AlgeriaMLNUDKAF0340001</v>
      </c>
      <c r="G36" s="141" t="s">
        <v>107</v>
      </c>
      <c r="H36" s="141">
        <v>71118</v>
      </c>
      <c r="I36" s="136" t="s">
        <v>108</v>
      </c>
      <c r="J36" s="137" t="s">
        <v>104</v>
      </c>
    </row>
    <row r="37" spans="1:10" ht="15" thickBot="1" x14ac:dyDescent="0.35">
      <c r="A37" s="144"/>
      <c r="B37" s="202"/>
      <c r="C37" s="133" t="s">
        <v>101</v>
      </c>
      <c r="D37" s="133" t="s">
        <v>85</v>
      </c>
      <c r="E37" s="133" t="s">
        <v>87</v>
      </c>
      <c r="F37" s="133" t="str">
        <f t="shared" si="0"/>
        <v>AlgeriaMLNUDKAF0535001</v>
      </c>
      <c r="G37" s="141" t="s">
        <v>109</v>
      </c>
      <c r="H37" s="135">
        <v>71342</v>
      </c>
      <c r="I37" s="136" t="s">
        <v>110</v>
      </c>
      <c r="J37" s="137" t="s">
        <v>104</v>
      </c>
    </row>
    <row r="38" spans="1:10" x14ac:dyDescent="0.3">
      <c r="A38" s="127" t="s">
        <v>111</v>
      </c>
      <c r="B38" s="200" t="s">
        <v>112</v>
      </c>
      <c r="C38" s="128" t="s">
        <v>47</v>
      </c>
      <c r="D38" s="128" t="s">
        <v>111</v>
      </c>
      <c r="E38" s="128">
        <v>1000342</v>
      </c>
      <c r="F38" s="128" t="str">
        <f t="shared" si="0"/>
        <v>LibyaMLPRHHMN0140002</v>
      </c>
      <c r="G38" s="128" t="s">
        <v>49</v>
      </c>
      <c r="H38" s="128">
        <v>16454305</v>
      </c>
      <c r="I38" s="154" t="s">
        <v>50</v>
      </c>
      <c r="J38" s="131" t="s">
        <v>51</v>
      </c>
    </row>
    <row r="39" spans="1:10" x14ac:dyDescent="0.3">
      <c r="A39" s="132"/>
      <c r="B39" s="201"/>
      <c r="C39" s="133" t="s">
        <v>47</v>
      </c>
      <c r="D39" s="133" t="s">
        <v>111</v>
      </c>
      <c r="E39" s="133">
        <v>1000342</v>
      </c>
      <c r="F39" s="134" t="str">
        <f t="shared" si="0"/>
        <v>LibyaMLPRHHMN0240002</v>
      </c>
      <c r="G39" s="134" t="s">
        <v>52</v>
      </c>
      <c r="H39" s="134">
        <v>16456305</v>
      </c>
      <c r="I39" s="140" t="s">
        <v>53</v>
      </c>
      <c r="J39" s="137" t="s">
        <v>51</v>
      </c>
    </row>
    <row r="40" spans="1:10" x14ac:dyDescent="0.3">
      <c r="A40" s="132"/>
      <c r="B40" s="201"/>
      <c r="C40" s="133" t="s">
        <v>47</v>
      </c>
      <c r="D40" s="133" t="s">
        <v>111</v>
      </c>
      <c r="E40" s="133">
        <v>1000342</v>
      </c>
      <c r="F40" s="135" t="str">
        <f t="shared" si="0"/>
        <v>LibyaMLPRHHMN0340002</v>
      </c>
      <c r="G40" s="135" t="s">
        <v>54</v>
      </c>
      <c r="H40" s="135">
        <v>16458305</v>
      </c>
      <c r="I40" s="136" t="s">
        <v>55</v>
      </c>
      <c r="J40" s="137" t="s">
        <v>51</v>
      </c>
    </row>
    <row r="41" spans="1:10" x14ac:dyDescent="0.3">
      <c r="A41" s="132" t="s">
        <v>111</v>
      </c>
      <c r="B41" s="201" t="s">
        <v>113</v>
      </c>
      <c r="C41" s="133" t="s">
        <v>47</v>
      </c>
      <c r="D41" s="133" t="s">
        <v>111</v>
      </c>
      <c r="E41" s="133">
        <v>1000342</v>
      </c>
      <c r="F41" s="134" t="str">
        <f t="shared" si="0"/>
        <v>LibyaMLPRHHMN0440002</v>
      </c>
      <c r="G41" s="134" t="s">
        <v>56</v>
      </c>
      <c r="H41" s="134">
        <v>16593305</v>
      </c>
      <c r="I41" s="139" t="s">
        <v>57</v>
      </c>
      <c r="J41" s="137" t="s">
        <v>51</v>
      </c>
    </row>
    <row r="42" spans="1:10" x14ac:dyDescent="0.3">
      <c r="A42" s="132"/>
      <c r="B42" s="201"/>
      <c r="C42" s="133" t="s">
        <v>47</v>
      </c>
      <c r="D42" s="133" t="s">
        <v>111</v>
      </c>
      <c r="E42" s="133">
        <v>1000342</v>
      </c>
      <c r="F42" s="133" t="str">
        <f t="shared" si="0"/>
        <v>LibyaMLPRHHMN0540001</v>
      </c>
      <c r="G42" s="133" t="s">
        <v>58</v>
      </c>
      <c r="H42" s="133">
        <v>16613305</v>
      </c>
      <c r="I42" s="139" t="s">
        <v>59</v>
      </c>
      <c r="J42" s="137" t="s">
        <v>51</v>
      </c>
    </row>
    <row r="43" spans="1:10" x14ac:dyDescent="0.3">
      <c r="A43" s="132" t="s">
        <v>111</v>
      </c>
      <c r="B43" s="201" t="s">
        <v>113</v>
      </c>
      <c r="C43" s="133" t="s">
        <v>47</v>
      </c>
      <c r="D43" s="133" t="s">
        <v>111</v>
      </c>
      <c r="E43" s="133">
        <v>1000342</v>
      </c>
      <c r="F43" s="135" t="str">
        <f t="shared" si="0"/>
        <v>LibyaMLPRHHMN1140002</v>
      </c>
      <c r="G43" s="135" t="s">
        <v>60</v>
      </c>
      <c r="H43" s="135">
        <v>16465305</v>
      </c>
      <c r="I43" s="136" t="s">
        <v>61</v>
      </c>
      <c r="J43" s="137" t="s">
        <v>51</v>
      </c>
    </row>
    <row r="44" spans="1:10" x14ac:dyDescent="0.3">
      <c r="A44" s="132"/>
      <c r="B44" s="201"/>
      <c r="C44" s="133" t="s">
        <v>47</v>
      </c>
      <c r="D44" s="133" t="s">
        <v>111</v>
      </c>
      <c r="E44" s="133">
        <v>1000343</v>
      </c>
      <c r="F44" s="135" t="str">
        <f t="shared" si="0"/>
        <v>LibyaMLPRHHMN0840001</v>
      </c>
      <c r="G44" s="155" t="s">
        <v>114</v>
      </c>
      <c r="H44" s="135">
        <v>16669305</v>
      </c>
      <c r="I44" s="136" t="s">
        <v>115</v>
      </c>
      <c r="J44" s="137" t="s">
        <v>51</v>
      </c>
    </row>
    <row r="45" spans="1:10" x14ac:dyDescent="0.3">
      <c r="A45" s="132" t="s">
        <v>111</v>
      </c>
      <c r="B45" s="201" t="s">
        <v>113</v>
      </c>
      <c r="C45" s="133" t="s">
        <v>47</v>
      </c>
      <c r="D45" s="133" t="s">
        <v>111</v>
      </c>
      <c r="E45" s="133">
        <v>1000344</v>
      </c>
      <c r="F45" s="135" t="str">
        <f t="shared" si="0"/>
        <v>LibyaMLPRHHMN0940001</v>
      </c>
      <c r="G45" s="141" t="s">
        <v>116</v>
      </c>
      <c r="H45" s="141">
        <v>11918305</v>
      </c>
      <c r="I45" s="136" t="s">
        <v>117</v>
      </c>
      <c r="J45" s="137" t="s">
        <v>51</v>
      </c>
    </row>
    <row r="46" spans="1:10" x14ac:dyDescent="0.3">
      <c r="A46" s="132" t="s">
        <v>111</v>
      </c>
      <c r="B46" s="201" t="s">
        <v>113</v>
      </c>
      <c r="C46" s="133" t="s">
        <v>47</v>
      </c>
      <c r="D46" s="133" t="s">
        <v>111</v>
      </c>
      <c r="E46" s="133">
        <v>1000342</v>
      </c>
      <c r="F46" s="141" t="str">
        <f t="shared" si="0"/>
        <v>LibyaMLPRHHMN1040001</v>
      </c>
      <c r="G46" s="141" t="s">
        <v>118</v>
      </c>
      <c r="H46" s="141">
        <v>11919305</v>
      </c>
      <c r="I46" s="136" t="s">
        <v>119</v>
      </c>
      <c r="J46" s="137" t="s">
        <v>51</v>
      </c>
    </row>
    <row r="47" spans="1:10" x14ac:dyDescent="0.3">
      <c r="A47" s="132" t="s">
        <v>111</v>
      </c>
      <c r="B47" s="201" t="s">
        <v>113</v>
      </c>
      <c r="C47" s="133" t="s">
        <v>47</v>
      </c>
      <c r="D47" s="133" t="s">
        <v>111</v>
      </c>
      <c r="E47" s="133">
        <v>1000342</v>
      </c>
      <c r="F47" s="142" t="str">
        <f t="shared" si="0"/>
        <v>LibyaMLPUHHMN0140001</v>
      </c>
      <c r="G47" s="142" t="s">
        <v>75</v>
      </c>
      <c r="H47" s="142">
        <v>16249335</v>
      </c>
      <c r="I47" s="151" t="s">
        <v>76</v>
      </c>
      <c r="J47" s="137" t="s">
        <v>51</v>
      </c>
    </row>
    <row r="48" spans="1:10" x14ac:dyDescent="0.3">
      <c r="A48" s="132" t="s">
        <v>111</v>
      </c>
      <c r="B48" s="201" t="s">
        <v>113</v>
      </c>
      <c r="C48" s="133" t="s">
        <v>47</v>
      </c>
      <c r="D48" s="133" t="s">
        <v>111</v>
      </c>
      <c r="E48" s="133">
        <v>1000342</v>
      </c>
      <c r="F48" s="143" t="str">
        <f t="shared" si="0"/>
        <v>LibyaMLPUHHMN0240001</v>
      </c>
      <c r="G48" s="141" t="s">
        <v>77</v>
      </c>
      <c r="H48" s="141">
        <v>16250335</v>
      </c>
      <c r="I48" s="136" t="s">
        <v>78</v>
      </c>
      <c r="J48" s="137" t="s">
        <v>51</v>
      </c>
    </row>
    <row r="49" spans="1:10" x14ac:dyDescent="0.3">
      <c r="A49" s="132" t="s">
        <v>111</v>
      </c>
      <c r="B49" s="201" t="s">
        <v>113</v>
      </c>
      <c r="C49" s="133" t="s">
        <v>47</v>
      </c>
      <c r="D49" s="133" t="s">
        <v>111</v>
      </c>
      <c r="E49" s="133">
        <v>1000342</v>
      </c>
      <c r="F49" s="135" t="str">
        <f t="shared" si="0"/>
        <v>LibyaMLPUHHMN0340001</v>
      </c>
      <c r="G49" s="143" t="s">
        <v>79</v>
      </c>
      <c r="H49" s="143">
        <v>16251335</v>
      </c>
      <c r="I49" s="152" t="s">
        <v>80</v>
      </c>
      <c r="J49" s="137" t="s">
        <v>51</v>
      </c>
    </row>
    <row r="50" spans="1:10" x14ac:dyDescent="0.3">
      <c r="A50" s="132" t="s">
        <v>111</v>
      </c>
      <c r="B50" s="201" t="s">
        <v>113</v>
      </c>
      <c r="C50" s="133" t="s">
        <v>47</v>
      </c>
      <c r="D50" s="133" t="s">
        <v>111</v>
      </c>
      <c r="E50" s="133">
        <v>1000342</v>
      </c>
      <c r="F50" s="141" t="str">
        <f t="shared" si="0"/>
        <v>LibyaMLPUHHMN0440001</v>
      </c>
      <c r="G50" s="141" t="s">
        <v>81</v>
      </c>
      <c r="H50" s="141">
        <v>16252335</v>
      </c>
      <c r="I50" s="136" t="s">
        <v>82</v>
      </c>
      <c r="J50" s="137" t="s">
        <v>51</v>
      </c>
    </row>
    <row r="51" spans="1:10" x14ac:dyDescent="0.3">
      <c r="A51" s="132"/>
      <c r="B51" s="201"/>
      <c r="C51" s="133" t="s">
        <v>47</v>
      </c>
      <c r="D51" s="133" t="s">
        <v>111</v>
      </c>
      <c r="E51" s="133">
        <v>1000342</v>
      </c>
      <c r="F51" s="141" t="str">
        <f t="shared" si="0"/>
        <v>LibyaMLPUHHMN0540001</v>
      </c>
      <c r="G51" s="143" t="s">
        <v>83</v>
      </c>
      <c r="H51" s="143">
        <v>16711335</v>
      </c>
      <c r="I51" s="152" t="s">
        <v>84</v>
      </c>
      <c r="J51" s="137" t="s">
        <v>51</v>
      </c>
    </row>
    <row r="52" spans="1:10" x14ac:dyDescent="0.3">
      <c r="A52" s="132" t="s">
        <v>111</v>
      </c>
      <c r="B52" s="201" t="s">
        <v>113</v>
      </c>
      <c r="C52" s="133" t="s">
        <v>47</v>
      </c>
      <c r="D52" s="133" t="s">
        <v>111</v>
      </c>
      <c r="E52" s="133">
        <v>1000342</v>
      </c>
      <c r="F52" s="133" t="str">
        <f t="shared" si="0"/>
        <v>LibyaMLPRFCMN1540001</v>
      </c>
      <c r="G52" s="135" t="s">
        <v>64</v>
      </c>
      <c r="H52" s="135">
        <v>408341</v>
      </c>
      <c r="I52" s="136" t="s">
        <v>65</v>
      </c>
      <c r="J52" s="137" t="s">
        <v>66</v>
      </c>
    </row>
    <row r="53" spans="1:10" x14ac:dyDescent="0.3">
      <c r="A53" s="132" t="s">
        <v>111</v>
      </c>
      <c r="B53" s="201" t="s">
        <v>113</v>
      </c>
      <c r="C53" s="133" t="s">
        <v>47</v>
      </c>
      <c r="D53" s="133" t="s">
        <v>111</v>
      </c>
      <c r="E53" s="133">
        <v>1000342</v>
      </c>
      <c r="F53" s="135" t="str">
        <f t="shared" si="0"/>
        <v>LibyaMLPRFCMN1440001</v>
      </c>
      <c r="G53" s="141" t="s">
        <v>120</v>
      </c>
      <c r="H53" s="141">
        <v>406112</v>
      </c>
      <c r="I53" s="136" t="s">
        <v>63</v>
      </c>
      <c r="J53" s="137" t="s">
        <v>66</v>
      </c>
    </row>
    <row r="54" spans="1:10" ht="15" thickBot="1" x14ac:dyDescent="0.35">
      <c r="A54" s="144"/>
      <c r="B54" s="202"/>
      <c r="C54" s="145" t="s">
        <v>47</v>
      </c>
      <c r="D54" s="145" t="s">
        <v>111</v>
      </c>
      <c r="E54" s="145">
        <v>1000342</v>
      </c>
      <c r="F54" s="145" t="str">
        <f t="shared" si="0"/>
        <v>LibyaMLPSHHMN1240002</v>
      </c>
      <c r="G54" s="139" t="s">
        <v>121</v>
      </c>
      <c r="H54" s="138">
        <v>16679335</v>
      </c>
      <c r="I54" s="139" t="s">
        <v>122</v>
      </c>
      <c r="J54" s="137" t="s">
        <v>51</v>
      </c>
    </row>
    <row r="55" spans="1:10" x14ac:dyDescent="0.3">
      <c r="A55" s="127" t="s">
        <v>111</v>
      </c>
      <c r="B55" s="200"/>
      <c r="C55" s="128" t="s">
        <v>101</v>
      </c>
      <c r="D55" s="128" t="s">
        <v>111</v>
      </c>
      <c r="E55" s="128">
        <v>1000342</v>
      </c>
      <c r="F55" s="128" t="str">
        <f t="shared" si="0"/>
        <v>LibyaMLNUHHSA1640001</v>
      </c>
      <c r="G55" s="128" t="s">
        <v>123</v>
      </c>
      <c r="H55" s="128">
        <v>16408305</v>
      </c>
      <c r="I55" s="154" t="s">
        <v>124</v>
      </c>
      <c r="J55" s="131" t="s">
        <v>51</v>
      </c>
    </row>
    <row r="56" spans="1:10" x14ac:dyDescent="0.3">
      <c r="A56" s="132"/>
      <c r="B56" s="201"/>
      <c r="C56" s="133" t="s">
        <v>101</v>
      </c>
      <c r="D56" s="133" t="s">
        <v>111</v>
      </c>
      <c r="E56" s="133">
        <v>1000342</v>
      </c>
      <c r="F56" s="134" t="str">
        <f t="shared" si="0"/>
        <v>LibyaMLNUHHSA1740001</v>
      </c>
      <c r="G56" s="134" t="s">
        <v>125</v>
      </c>
      <c r="H56" s="134">
        <v>16409305</v>
      </c>
      <c r="I56" s="140" t="s">
        <v>126</v>
      </c>
      <c r="J56" s="137" t="s">
        <v>51</v>
      </c>
    </row>
    <row r="57" spans="1:10" ht="15" thickBot="1" x14ac:dyDescent="0.35">
      <c r="A57" s="144"/>
      <c r="B57" s="202"/>
      <c r="C57" s="133" t="s">
        <v>101</v>
      </c>
      <c r="D57" s="133" t="s">
        <v>111</v>
      </c>
      <c r="E57" s="133">
        <v>1000342</v>
      </c>
      <c r="F57" s="135" t="str">
        <f t="shared" si="0"/>
        <v>LibyaMLNUHHSA1840001</v>
      </c>
      <c r="G57" s="135" t="s">
        <v>127</v>
      </c>
      <c r="H57" s="135">
        <v>16410305</v>
      </c>
      <c r="I57" s="136" t="s">
        <v>128</v>
      </c>
      <c r="J57" s="137" t="s">
        <v>51</v>
      </c>
    </row>
    <row r="58" spans="1:10" x14ac:dyDescent="0.3">
      <c r="A58" s="127" t="s">
        <v>129</v>
      </c>
      <c r="B58" s="200" t="s">
        <v>130</v>
      </c>
      <c r="C58" s="128" t="s">
        <v>47</v>
      </c>
      <c r="D58" s="128" t="s">
        <v>129</v>
      </c>
      <c r="E58" s="128">
        <v>1000225</v>
      </c>
      <c r="F58" s="128" t="str">
        <f t="shared" si="0"/>
        <v>MoroccoMLPRFCMN0140001</v>
      </c>
      <c r="G58" s="128" t="s">
        <v>131</v>
      </c>
      <c r="H58" s="128">
        <v>420311</v>
      </c>
      <c r="I58" s="154" t="s">
        <v>50</v>
      </c>
      <c r="J58" s="131" t="s">
        <v>66</v>
      </c>
    </row>
    <row r="59" spans="1:10" x14ac:dyDescent="0.3">
      <c r="A59" s="132" t="s">
        <v>132</v>
      </c>
      <c r="B59" s="201" t="s">
        <v>130</v>
      </c>
      <c r="C59" s="133" t="s">
        <v>47</v>
      </c>
      <c r="D59" s="133" t="s">
        <v>129</v>
      </c>
      <c r="E59" s="133">
        <v>1000225</v>
      </c>
      <c r="F59" s="134" t="str">
        <f t="shared" si="0"/>
        <v>MoroccoMLPRFCMN0240001</v>
      </c>
      <c r="G59" s="134" t="s">
        <v>133</v>
      </c>
      <c r="H59" s="134">
        <v>420312</v>
      </c>
      <c r="I59" s="140" t="s">
        <v>53</v>
      </c>
      <c r="J59" s="137" t="s">
        <v>66</v>
      </c>
    </row>
    <row r="60" spans="1:10" x14ac:dyDescent="0.3">
      <c r="A60" s="132" t="s">
        <v>132</v>
      </c>
      <c r="B60" s="201" t="s">
        <v>130</v>
      </c>
      <c r="C60" s="133" t="s">
        <v>47</v>
      </c>
      <c r="D60" s="133" t="s">
        <v>129</v>
      </c>
      <c r="E60" s="133">
        <v>1000225</v>
      </c>
      <c r="F60" s="135" t="str">
        <f t="shared" si="0"/>
        <v>MoroccoMLPRFCMN0340001</v>
      </c>
      <c r="G60" s="156" t="s">
        <v>134</v>
      </c>
      <c r="H60" s="135">
        <v>420313</v>
      </c>
      <c r="I60" s="136" t="s">
        <v>55</v>
      </c>
      <c r="J60" s="137" t="s">
        <v>66</v>
      </c>
    </row>
    <row r="61" spans="1:10" x14ac:dyDescent="0.3">
      <c r="A61" s="132"/>
      <c r="B61" s="201"/>
      <c r="C61" s="133" t="s">
        <v>47</v>
      </c>
      <c r="D61" s="133" t="s">
        <v>129</v>
      </c>
      <c r="E61" s="133">
        <v>1000225</v>
      </c>
      <c r="F61" s="133" t="str">
        <f t="shared" si="0"/>
        <v>MoroccoMLPRHHMN0440002</v>
      </c>
      <c r="G61" s="134" t="s">
        <v>56</v>
      </c>
      <c r="H61" s="134">
        <v>16593305</v>
      </c>
      <c r="I61" s="139" t="s">
        <v>57</v>
      </c>
      <c r="J61" s="137" t="s">
        <v>51</v>
      </c>
    </row>
    <row r="62" spans="1:10" x14ac:dyDescent="0.3">
      <c r="A62" s="132"/>
      <c r="B62" s="201"/>
      <c r="C62" s="133" t="s">
        <v>47</v>
      </c>
      <c r="D62" s="133" t="s">
        <v>129</v>
      </c>
      <c r="E62" s="133">
        <v>1000225</v>
      </c>
      <c r="F62" s="133" t="str">
        <f t="shared" si="0"/>
        <v>MoroccoMLPRHHMN0540001</v>
      </c>
      <c r="G62" s="138" t="s">
        <v>58</v>
      </c>
      <c r="H62" s="135">
        <v>16613305</v>
      </c>
      <c r="I62" s="139" t="s">
        <v>59</v>
      </c>
      <c r="J62" s="137" t="s">
        <v>51</v>
      </c>
    </row>
    <row r="63" spans="1:10" x14ac:dyDescent="0.3">
      <c r="A63" s="132" t="s">
        <v>132</v>
      </c>
      <c r="B63" s="201" t="s">
        <v>130</v>
      </c>
      <c r="C63" s="133" t="s">
        <v>47</v>
      </c>
      <c r="D63" s="133" t="s">
        <v>129</v>
      </c>
      <c r="E63" s="133">
        <v>1000225</v>
      </c>
      <c r="F63" s="135" t="str">
        <f t="shared" si="0"/>
        <v>MoroccoMLPRFCMN1540001</v>
      </c>
      <c r="G63" s="135" t="s">
        <v>64</v>
      </c>
      <c r="H63" s="135">
        <v>408341</v>
      </c>
      <c r="I63" s="136" t="s">
        <v>65</v>
      </c>
      <c r="J63" s="137" t="s">
        <v>66</v>
      </c>
    </row>
    <row r="64" spans="1:10" ht="15" thickBot="1" x14ac:dyDescent="0.35">
      <c r="A64" s="144" t="s">
        <v>132</v>
      </c>
      <c r="B64" s="202" t="s">
        <v>130</v>
      </c>
      <c r="C64" s="145" t="s">
        <v>47</v>
      </c>
      <c r="D64" s="145" t="s">
        <v>129</v>
      </c>
      <c r="E64" s="145">
        <v>1000225</v>
      </c>
      <c r="F64" s="157" t="str">
        <f>+_xlfn.CONCAT(D64,G64)</f>
        <v>MoroccoMLPRFCMN1440001</v>
      </c>
      <c r="G64" s="157" t="s">
        <v>120</v>
      </c>
      <c r="H64" s="157">
        <v>406112</v>
      </c>
      <c r="I64" s="147" t="s">
        <v>63</v>
      </c>
      <c r="J64" s="148" t="s">
        <v>66</v>
      </c>
    </row>
    <row r="65" spans="1:10" x14ac:dyDescent="0.3">
      <c r="A65" s="127" t="s">
        <v>129</v>
      </c>
      <c r="B65" s="200" t="s">
        <v>135</v>
      </c>
      <c r="C65" s="128" t="s">
        <v>101</v>
      </c>
      <c r="D65" s="128" t="s">
        <v>129</v>
      </c>
      <c r="E65" s="128">
        <v>1001001</v>
      </c>
      <c r="F65" s="128" t="str">
        <f>+_xlfn.CONCAT(D65,G65)</f>
        <v>MoroccoMLSWHHMN1640001</v>
      </c>
      <c r="G65" s="128" t="s">
        <v>136</v>
      </c>
      <c r="H65" s="128">
        <v>11988305</v>
      </c>
      <c r="I65" s="154" t="s">
        <v>137</v>
      </c>
      <c r="J65" s="131" t="s">
        <v>51</v>
      </c>
    </row>
    <row r="66" spans="1:10" x14ac:dyDescent="0.3">
      <c r="A66" s="132" t="s">
        <v>132</v>
      </c>
      <c r="B66" s="201" t="s">
        <v>138</v>
      </c>
      <c r="C66" s="133" t="s">
        <v>101</v>
      </c>
      <c r="D66" s="133" t="s">
        <v>129</v>
      </c>
      <c r="E66" s="133">
        <v>1001001</v>
      </c>
      <c r="F66" s="134" t="str">
        <f t="shared" si="0"/>
        <v>MoroccoMLSWHHMN1740001</v>
      </c>
      <c r="G66" s="134" t="s">
        <v>139</v>
      </c>
      <c r="H66" s="134">
        <v>11989305</v>
      </c>
      <c r="I66" s="140" t="s">
        <v>140</v>
      </c>
      <c r="J66" s="137" t="s">
        <v>51</v>
      </c>
    </row>
    <row r="67" spans="1:10" x14ac:dyDescent="0.3">
      <c r="A67" s="132" t="s">
        <v>132</v>
      </c>
      <c r="B67" s="201" t="s">
        <v>138</v>
      </c>
      <c r="C67" s="133" t="s">
        <v>101</v>
      </c>
      <c r="D67" s="133" t="s">
        <v>129</v>
      </c>
      <c r="E67" s="133">
        <v>1001001</v>
      </c>
      <c r="F67" s="135" t="str">
        <f t="shared" si="0"/>
        <v>MoroccoMLSWHHMN1840001</v>
      </c>
      <c r="G67" s="135" t="s">
        <v>141</v>
      </c>
      <c r="H67" s="135">
        <v>11990305</v>
      </c>
      <c r="I67" s="136" t="s">
        <v>142</v>
      </c>
      <c r="J67" s="137" t="s">
        <v>51</v>
      </c>
    </row>
    <row r="68" spans="1:10" x14ac:dyDescent="0.3">
      <c r="A68" s="132"/>
      <c r="B68" s="201"/>
      <c r="C68" s="133" t="s">
        <v>101</v>
      </c>
      <c r="D68" s="133" t="s">
        <v>129</v>
      </c>
      <c r="E68" s="133">
        <v>1001001</v>
      </c>
      <c r="F68" s="135" t="str">
        <f t="shared" si="0"/>
        <v>MoroccoMLSWHHMN0640001</v>
      </c>
      <c r="G68" s="134" t="s">
        <v>143</v>
      </c>
      <c r="H68" s="134">
        <v>13045305</v>
      </c>
      <c r="I68" s="140" t="s">
        <v>144</v>
      </c>
      <c r="J68" s="137" t="s">
        <v>51</v>
      </c>
    </row>
    <row r="69" spans="1:10" x14ac:dyDescent="0.3">
      <c r="A69" s="132"/>
      <c r="B69" s="201"/>
      <c r="C69" s="133" t="s">
        <v>101</v>
      </c>
      <c r="D69" s="133" t="s">
        <v>129</v>
      </c>
      <c r="E69" s="133">
        <v>1001001</v>
      </c>
      <c r="F69" s="133" t="str">
        <f t="shared" si="0"/>
        <v>MoroccoMLSWHHMN0540001</v>
      </c>
      <c r="G69" s="134" t="s">
        <v>145</v>
      </c>
      <c r="H69" s="134">
        <v>16612305</v>
      </c>
      <c r="I69" s="139" t="s">
        <v>146</v>
      </c>
      <c r="J69" s="137" t="s">
        <v>51</v>
      </c>
    </row>
    <row r="70" spans="1:10" ht="15" thickBot="1" x14ac:dyDescent="0.35">
      <c r="A70" s="144" t="s">
        <v>132</v>
      </c>
      <c r="B70" s="202" t="s">
        <v>138</v>
      </c>
      <c r="C70" s="133" t="s">
        <v>101</v>
      </c>
      <c r="D70" s="133" t="s">
        <v>129</v>
      </c>
      <c r="E70" s="133">
        <v>1001001</v>
      </c>
      <c r="F70" s="133" t="str">
        <f t="shared" si="0"/>
        <v>MoroccoMLSWHHMN0440002</v>
      </c>
      <c r="G70" s="138" t="s">
        <v>147</v>
      </c>
      <c r="H70" s="135">
        <v>16594305</v>
      </c>
      <c r="I70" s="139" t="s">
        <v>148</v>
      </c>
      <c r="J70" s="137" t="s">
        <v>51</v>
      </c>
    </row>
    <row r="71" spans="1:10" x14ac:dyDescent="0.3">
      <c r="A71" s="158" t="s">
        <v>149</v>
      </c>
      <c r="B71" s="203" t="s">
        <v>150</v>
      </c>
      <c r="C71" s="128" t="s">
        <v>47</v>
      </c>
      <c r="D71" s="128" t="s">
        <v>149</v>
      </c>
      <c r="E71" s="128">
        <v>1000224</v>
      </c>
      <c r="F71" s="150" t="str">
        <f t="shared" ref="F71:F139" si="1">+_xlfn.CONCAT(D71,G71)</f>
        <v>MauritaniaMLPRHHPX0140002</v>
      </c>
      <c r="G71" s="159" t="s">
        <v>151</v>
      </c>
      <c r="H71" s="159">
        <v>16453305</v>
      </c>
      <c r="I71" s="160" t="s">
        <v>152</v>
      </c>
      <c r="J71" s="131" t="s">
        <v>51</v>
      </c>
    </row>
    <row r="72" spans="1:10" x14ac:dyDescent="0.3">
      <c r="A72" s="161"/>
      <c r="B72" s="201"/>
      <c r="C72" s="133" t="s">
        <v>47</v>
      </c>
      <c r="D72" s="133" t="s">
        <v>149</v>
      </c>
      <c r="E72" s="133">
        <v>1000224</v>
      </c>
      <c r="F72" s="134" t="str">
        <f t="shared" si="1"/>
        <v>MauritaniaMLPRHHPX0240002</v>
      </c>
      <c r="G72" s="138" t="s">
        <v>153</v>
      </c>
      <c r="H72" s="138">
        <v>16455305</v>
      </c>
      <c r="I72" s="140" t="s">
        <v>154</v>
      </c>
      <c r="J72" s="137" t="s">
        <v>51</v>
      </c>
    </row>
    <row r="73" spans="1:10" x14ac:dyDescent="0.3">
      <c r="A73" s="161"/>
      <c r="B73" s="201"/>
      <c r="C73" s="133" t="s">
        <v>47</v>
      </c>
      <c r="D73" s="133" t="s">
        <v>149</v>
      </c>
      <c r="E73" s="133">
        <v>1000224</v>
      </c>
      <c r="F73" s="134" t="str">
        <f t="shared" si="1"/>
        <v>MauritaniaMLPRHHPX0340002</v>
      </c>
      <c r="G73" s="138" t="s">
        <v>155</v>
      </c>
      <c r="H73" s="138">
        <v>16457305</v>
      </c>
      <c r="I73" s="140" t="s">
        <v>156</v>
      </c>
      <c r="J73" s="137" t="s">
        <v>51</v>
      </c>
    </row>
    <row r="74" spans="1:10" x14ac:dyDescent="0.3">
      <c r="A74" s="161"/>
      <c r="B74" s="201"/>
      <c r="C74" s="133" t="s">
        <v>47</v>
      </c>
      <c r="D74" s="133" t="s">
        <v>149</v>
      </c>
      <c r="E74" s="133">
        <v>1000224</v>
      </c>
      <c r="F74" s="134" t="str">
        <f t="shared" si="1"/>
        <v>MauritaniaMLPRHHPX0440002</v>
      </c>
      <c r="G74" s="138" t="s">
        <v>157</v>
      </c>
      <c r="H74" s="138">
        <v>16592305</v>
      </c>
      <c r="I74" s="140" t="s">
        <v>158</v>
      </c>
      <c r="J74" s="137" t="s">
        <v>51</v>
      </c>
    </row>
    <row r="75" spans="1:10" x14ac:dyDescent="0.3">
      <c r="A75" s="161"/>
      <c r="B75" s="201"/>
      <c r="C75" s="133" t="s">
        <v>47</v>
      </c>
      <c r="D75" s="133" t="s">
        <v>149</v>
      </c>
      <c r="E75" s="133">
        <v>1000224</v>
      </c>
      <c r="F75" s="134" t="str">
        <f t="shared" si="1"/>
        <v>MauritaniaMLPRHHPX0540001</v>
      </c>
      <c r="G75" s="134" t="s">
        <v>159</v>
      </c>
      <c r="H75" s="134">
        <v>16614305</v>
      </c>
      <c r="I75" s="140" t="s">
        <v>160</v>
      </c>
      <c r="J75" s="137" t="s">
        <v>51</v>
      </c>
    </row>
    <row r="76" spans="1:10" x14ac:dyDescent="0.3">
      <c r="A76" s="161"/>
      <c r="B76" s="201"/>
      <c r="C76" s="133" t="s">
        <v>47</v>
      </c>
      <c r="D76" s="133" t="s">
        <v>149</v>
      </c>
      <c r="E76" s="133">
        <v>1000224</v>
      </c>
      <c r="F76" s="135" t="str">
        <f t="shared" si="1"/>
        <v>MauritaniaMLPRHHMN0940001</v>
      </c>
      <c r="G76" s="135" t="s">
        <v>116</v>
      </c>
      <c r="H76" s="133">
        <v>11918305</v>
      </c>
      <c r="I76" s="139" t="s">
        <v>117</v>
      </c>
      <c r="J76" s="137" t="s">
        <v>51</v>
      </c>
    </row>
    <row r="77" spans="1:10" x14ac:dyDescent="0.3">
      <c r="A77" s="161"/>
      <c r="B77" s="201"/>
      <c r="C77" s="133" t="s">
        <v>47</v>
      </c>
      <c r="D77" s="133" t="s">
        <v>149</v>
      </c>
      <c r="E77" s="133">
        <v>1000224</v>
      </c>
      <c r="F77" s="135" t="str">
        <f t="shared" si="1"/>
        <v>MauritaniaMLPRHHMN1040001</v>
      </c>
      <c r="G77" s="135" t="s">
        <v>118</v>
      </c>
      <c r="H77" s="133">
        <v>11919305</v>
      </c>
      <c r="I77" s="139" t="s">
        <v>119</v>
      </c>
      <c r="J77" s="137" t="s">
        <v>51</v>
      </c>
    </row>
    <row r="78" spans="1:10" x14ac:dyDescent="0.3">
      <c r="A78" s="161"/>
      <c r="B78" s="201"/>
      <c r="C78" s="133" t="s">
        <v>47</v>
      </c>
      <c r="D78" s="133" t="s">
        <v>149</v>
      </c>
      <c r="E78" s="133">
        <v>1000224</v>
      </c>
      <c r="F78" s="135" t="str">
        <f t="shared" si="1"/>
        <v>MauritaniaMLPRHHPX1140002</v>
      </c>
      <c r="G78" s="135" t="s">
        <v>161</v>
      </c>
      <c r="H78" s="135">
        <v>16460305</v>
      </c>
      <c r="I78" s="139" t="s">
        <v>162</v>
      </c>
      <c r="J78" s="137" t="s">
        <v>51</v>
      </c>
    </row>
    <row r="79" spans="1:10" x14ac:dyDescent="0.3">
      <c r="A79" s="161"/>
      <c r="B79" s="201"/>
      <c r="C79" s="133" t="s">
        <v>47</v>
      </c>
      <c r="D79" s="133" t="s">
        <v>149</v>
      </c>
      <c r="E79" s="133">
        <v>1000224</v>
      </c>
      <c r="F79" s="134" t="str">
        <f t="shared" si="1"/>
        <v>MauritaniaMLPSHHMN1240002</v>
      </c>
      <c r="G79" s="141" t="s">
        <v>121</v>
      </c>
      <c r="H79" s="141">
        <v>16679335</v>
      </c>
      <c r="I79" s="139" t="s">
        <v>122</v>
      </c>
      <c r="J79" s="137" t="s">
        <v>51</v>
      </c>
    </row>
    <row r="80" spans="1:10" x14ac:dyDescent="0.3">
      <c r="A80" s="161"/>
      <c r="B80" s="201"/>
      <c r="C80" s="133" t="s">
        <v>47</v>
      </c>
      <c r="D80" s="133" t="s">
        <v>149</v>
      </c>
      <c r="E80" s="133">
        <v>1000224</v>
      </c>
      <c r="F80" s="135" t="str">
        <f t="shared" si="1"/>
        <v>MauritaniaMLPRHHMN1440001</v>
      </c>
      <c r="G80" s="134" t="s">
        <v>62</v>
      </c>
      <c r="H80" s="134">
        <v>16466305</v>
      </c>
      <c r="I80" s="139" t="s">
        <v>63</v>
      </c>
      <c r="J80" s="137" t="s">
        <v>51</v>
      </c>
    </row>
    <row r="81" spans="1:10" x14ac:dyDescent="0.3">
      <c r="A81" s="161"/>
      <c r="B81" s="201"/>
      <c r="C81" s="133" t="s">
        <v>47</v>
      </c>
      <c r="D81" s="133" t="s">
        <v>149</v>
      </c>
      <c r="E81" s="133">
        <v>1000224</v>
      </c>
      <c r="F81" s="138" t="str">
        <f t="shared" si="1"/>
        <v>MauritaniaMLPRFCMN1540001</v>
      </c>
      <c r="G81" s="134" t="s">
        <v>64</v>
      </c>
      <c r="H81" s="133">
        <v>408341</v>
      </c>
      <c r="I81" s="139" t="s">
        <v>65</v>
      </c>
      <c r="J81" s="137" t="s">
        <v>66</v>
      </c>
    </row>
    <row r="82" spans="1:10" x14ac:dyDescent="0.3">
      <c r="A82" s="161"/>
      <c r="B82" s="201"/>
      <c r="C82" s="133" t="s">
        <v>47</v>
      </c>
      <c r="D82" s="133" t="s">
        <v>149</v>
      </c>
      <c r="E82" s="133">
        <v>1000224</v>
      </c>
      <c r="F82" s="138" t="str">
        <f t="shared" si="1"/>
        <v>MauritaniaCRPRBLMN0620001</v>
      </c>
      <c r="G82" s="134" t="s">
        <v>88</v>
      </c>
      <c r="H82" s="162" t="s">
        <v>89</v>
      </c>
      <c r="I82" s="139" t="s">
        <v>90</v>
      </c>
      <c r="J82" s="137" t="s">
        <v>91</v>
      </c>
    </row>
    <row r="83" spans="1:10" x14ac:dyDescent="0.3">
      <c r="A83" s="161"/>
      <c r="B83" s="201"/>
      <c r="C83" s="133" t="s">
        <v>47</v>
      </c>
      <c r="D83" s="133" t="s">
        <v>149</v>
      </c>
      <c r="E83" s="133">
        <v>1000224</v>
      </c>
      <c r="F83" s="138" t="str">
        <f t="shared" si="1"/>
        <v>MauritaniaCRPRBLMN0120001</v>
      </c>
      <c r="G83" s="134" t="s">
        <v>92</v>
      </c>
      <c r="H83" s="162" t="s">
        <v>163</v>
      </c>
      <c r="I83" s="163" t="s">
        <v>94</v>
      </c>
      <c r="J83" s="137" t="s">
        <v>91</v>
      </c>
    </row>
    <row r="84" spans="1:10" x14ac:dyDescent="0.3">
      <c r="A84" s="161"/>
      <c r="B84" s="201"/>
      <c r="C84" s="133" t="s">
        <v>47</v>
      </c>
      <c r="D84" s="133" t="s">
        <v>149</v>
      </c>
      <c r="E84" s="133">
        <v>1000224</v>
      </c>
      <c r="F84" s="138" t="str">
        <f t="shared" si="1"/>
        <v>MauritaniaCRPRBLMN0320001</v>
      </c>
      <c r="G84" s="134" t="s">
        <v>95</v>
      </c>
      <c r="H84" s="162" t="s">
        <v>96</v>
      </c>
      <c r="I84" s="163" t="s">
        <v>97</v>
      </c>
      <c r="J84" s="137" t="s">
        <v>91</v>
      </c>
    </row>
    <row r="85" spans="1:10" ht="15" thickBot="1" x14ac:dyDescent="0.35">
      <c r="A85" s="164"/>
      <c r="B85" s="202"/>
      <c r="C85" s="145" t="s">
        <v>47</v>
      </c>
      <c r="D85" s="145" t="s">
        <v>149</v>
      </c>
      <c r="E85" s="145">
        <v>1000224</v>
      </c>
      <c r="F85" s="165" t="str">
        <f t="shared" si="1"/>
        <v>MauritaniaCRPRBLMN0220001</v>
      </c>
      <c r="G85" s="166" t="s">
        <v>98</v>
      </c>
      <c r="H85" s="167" t="s">
        <v>99</v>
      </c>
      <c r="I85" s="168" t="s">
        <v>100</v>
      </c>
      <c r="J85" s="148" t="s">
        <v>91</v>
      </c>
    </row>
    <row r="86" spans="1:10" x14ac:dyDescent="0.3">
      <c r="A86" s="158" t="s">
        <v>149</v>
      </c>
      <c r="B86" s="203"/>
      <c r="C86" s="128" t="s">
        <v>101</v>
      </c>
      <c r="D86" s="128" t="s">
        <v>149</v>
      </c>
      <c r="E86" s="128"/>
      <c r="F86" s="150" t="str">
        <f t="shared" si="1"/>
        <v>MauritaniaMLNUHHAF0140001</v>
      </c>
      <c r="G86" s="159" t="s">
        <v>164</v>
      </c>
      <c r="H86" s="159">
        <v>16869305</v>
      </c>
      <c r="I86" s="160" t="s">
        <v>103</v>
      </c>
      <c r="J86" s="131" t="s">
        <v>51</v>
      </c>
    </row>
    <row r="87" spans="1:10" x14ac:dyDescent="0.3">
      <c r="A87" s="161"/>
      <c r="B87" s="201"/>
      <c r="C87" s="133" t="s">
        <v>101</v>
      </c>
      <c r="D87" s="133" t="s">
        <v>149</v>
      </c>
      <c r="E87" s="133"/>
      <c r="F87" s="134" t="str">
        <f t="shared" si="1"/>
        <v>MauritaniaMLNUHHAF0240001</v>
      </c>
      <c r="G87" s="138" t="s">
        <v>165</v>
      </c>
      <c r="H87" s="138">
        <v>16870305</v>
      </c>
      <c r="I87" s="140" t="s">
        <v>106</v>
      </c>
      <c r="J87" s="137" t="s">
        <v>51</v>
      </c>
    </row>
    <row r="88" spans="1:10" ht="15" thickBot="1" x14ac:dyDescent="0.35">
      <c r="A88" s="164"/>
      <c r="B88" s="202"/>
      <c r="C88" s="133" t="s">
        <v>101</v>
      </c>
      <c r="D88" s="133" t="s">
        <v>149</v>
      </c>
      <c r="E88" s="133"/>
      <c r="F88" s="134" t="str">
        <f t="shared" si="1"/>
        <v>MauritaniaMLNUHHAF0340001</v>
      </c>
      <c r="G88" s="138" t="s">
        <v>166</v>
      </c>
      <c r="H88" s="138">
        <v>16871305</v>
      </c>
      <c r="I88" s="140" t="s">
        <v>108</v>
      </c>
      <c r="J88" s="137" t="s">
        <v>51</v>
      </c>
    </row>
    <row r="89" spans="1:10" x14ac:dyDescent="0.3">
      <c r="A89" s="158" t="s">
        <v>149</v>
      </c>
      <c r="B89" s="203" t="s">
        <v>167</v>
      </c>
      <c r="C89" s="128" t="s">
        <v>101</v>
      </c>
      <c r="D89" s="128" t="s">
        <v>149</v>
      </c>
      <c r="E89" s="128">
        <v>1000725</v>
      </c>
      <c r="F89" s="150" t="str">
        <f t="shared" si="1"/>
        <v>MauritaniaCRSWNUMN0125001</v>
      </c>
      <c r="G89" s="159" t="s">
        <v>168</v>
      </c>
      <c r="H89" s="159">
        <v>600233</v>
      </c>
      <c r="I89" s="160" t="s">
        <v>169</v>
      </c>
      <c r="J89" s="131" t="s">
        <v>170</v>
      </c>
    </row>
    <row r="90" spans="1:10" x14ac:dyDescent="0.3">
      <c r="A90" s="161"/>
      <c r="B90" s="201"/>
      <c r="C90" s="133" t="s">
        <v>101</v>
      </c>
      <c r="D90" s="133" t="s">
        <v>149</v>
      </c>
      <c r="E90" s="133">
        <v>1000725</v>
      </c>
      <c r="F90" s="134" t="str">
        <f t="shared" si="1"/>
        <v>MauritaniaCRSWNUMN0225001</v>
      </c>
      <c r="G90" s="138" t="s">
        <v>171</v>
      </c>
      <c r="H90" s="138">
        <v>600230</v>
      </c>
      <c r="I90" s="140" t="s">
        <v>172</v>
      </c>
      <c r="J90" s="137" t="s">
        <v>170</v>
      </c>
    </row>
    <row r="91" spans="1:10" x14ac:dyDescent="0.3">
      <c r="A91" s="161"/>
      <c r="B91" s="201"/>
      <c r="C91" s="133" t="s">
        <v>101</v>
      </c>
      <c r="D91" s="133" t="s">
        <v>149</v>
      </c>
      <c r="E91" s="133">
        <v>1000725</v>
      </c>
      <c r="F91" s="134" t="str">
        <f t="shared" si="1"/>
        <v>MauritaniaCRSWNUMN0325001</v>
      </c>
      <c r="G91" s="138" t="s">
        <v>173</v>
      </c>
      <c r="H91" s="138">
        <v>600231</v>
      </c>
      <c r="I91" s="140" t="s">
        <v>174</v>
      </c>
      <c r="J91" s="137" t="s">
        <v>170</v>
      </c>
    </row>
    <row r="92" spans="1:10" x14ac:dyDescent="0.3">
      <c r="A92" s="161"/>
      <c r="B92" s="201"/>
      <c r="C92" s="133" t="s">
        <v>101</v>
      </c>
      <c r="D92" s="133" t="s">
        <v>149</v>
      </c>
      <c r="E92" s="133">
        <v>1000725</v>
      </c>
      <c r="F92" s="134" t="str">
        <f t="shared" si="1"/>
        <v>MauritaniaCRSWNUMN0425001</v>
      </c>
      <c r="G92" s="138" t="s">
        <v>175</v>
      </c>
      <c r="H92" s="138">
        <v>600229</v>
      </c>
      <c r="I92" s="140" t="s">
        <v>176</v>
      </c>
      <c r="J92" s="137" t="s">
        <v>170</v>
      </c>
    </row>
    <row r="93" spans="1:10" x14ac:dyDescent="0.3">
      <c r="A93" s="161"/>
      <c r="B93" s="201"/>
      <c r="C93" s="133" t="s">
        <v>101</v>
      </c>
      <c r="D93" s="133" t="s">
        <v>149</v>
      </c>
      <c r="E93" s="133">
        <v>1000725</v>
      </c>
      <c r="F93" s="134" t="str">
        <f t="shared" si="1"/>
        <v>MauritaniaCRSWNUIQ0535001</v>
      </c>
      <c r="G93" s="134" t="s">
        <v>177</v>
      </c>
      <c r="H93" s="134">
        <v>600450</v>
      </c>
      <c r="I93" s="140" t="s">
        <v>178</v>
      </c>
      <c r="J93" s="137" t="s">
        <v>170</v>
      </c>
    </row>
    <row r="94" spans="1:10" x14ac:dyDescent="0.3">
      <c r="A94" s="161"/>
      <c r="B94" s="201"/>
      <c r="C94" s="133" t="s">
        <v>101</v>
      </c>
      <c r="D94" s="133" t="s">
        <v>149</v>
      </c>
      <c r="E94" s="133">
        <v>1000725</v>
      </c>
      <c r="F94" s="134" t="str">
        <f t="shared" si="1"/>
        <v>MauritaniaCRSWNUIQ0135001</v>
      </c>
      <c r="G94" s="134" t="s">
        <v>179</v>
      </c>
      <c r="H94" s="134">
        <v>600453</v>
      </c>
      <c r="I94" s="140" t="s">
        <v>180</v>
      </c>
      <c r="J94" s="137" t="s">
        <v>170</v>
      </c>
    </row>
    <row r="95" spans="1:10" x14ac:dyDescent="0.3">
      <c r="A95" s="161"/>
      <c r="B95" s="201"/>
      <c r="C95" s="133" t="s">
        <v>101</v>
      </c>
      <c r="D95" s="133" t="s">
        <v>149</v>
      </c>
      <c r="E95" s="133">
        <v>1000725</v>
      </c>
      <c r="F95" s="134" t="str">
        <f t="shared" si="1"/>
        <v>MauritaniaCRSWNUIQ0435001</v>
      </c>
      <c r="G95" s="134" t="s">
        <v>181</v>
      </c>
      <c r="H95" s="134">
        <v>600452</v>
      </c>
      <c r="I95" s="140" t="s">
        <v>182</v>
      </c>
      <c r="J95" s="137" t="s">
        <v>170</v>
      </c>
    </row>
    <row r="96" spans="1:10" x14ac:dyDescent="0.3">
      <c r="A96" s="161"/>
      <c r="B96" s="201"/>
      <c r="C96" s="133" t="s">
        <v>101</v>
      </c>
      <c r="D96" s="133" t="s">
        <v>149</v>
      </c>
      <c r="E96" s="133">
        <v>1000725</v>
      </c>
      <c r="F96" s="134" t="str">
        <f t="shared" si="1"/>
        <v>MauritaniaCRSWNUIQ0635001</v>
      </c>
      <c r="G96" s="134" t="s">
        <v>183</v>
      </c>
      <c r="H96" s="134">
        <v>600451</v>
      </c>
      <c r="I96" s="140" t="s">
        <v>184</v>
      </c>
      <c r="J96" s="137" t="s">
        <v>170</v>
      </c>
    </row>
    <row r="97" spans="1:10" x14ac:dyDescent="0.3">
      <c r="A97" s="161"/>
      <c r="B97" s="201"/>
      <c r="C97" s="133" t="s">
        <v>101</v>
      </c>
      <c r="D97" s="133" t="s">
        <v>149</v>
      </c>
      <c r="E97" s="133">
        <v>1000725</v>
      </c>
      <c r="F97" s="134" t="str">
        <f t="shared" si="1"/>
        <v>MauritaniaCRSWNUIQ0335001</v>
      </c>
      <c r="G97" s="134" t="s">
        <v>185</v>
      </c>
      <c r="H97" s="134">
        <v>600454</v>
      </c>
      <c r="I97" s="140" t="s">
        <v>186</v>
      </c>
      <c r="J97" s="137" t="s">
        <v>170</v>
      </c>
    </row>
    <row r="98" spans="1:10" x14ac:dyDescent="0.3">
      <c r="A98" s="161"/>
      <c r="B98" s="201"/>
      <c r="C98" s="133" t="s">
        <v>101</v>
      </c>
      <c r="D98" s="133" t="s">
        <v>149</v>
      </c>
      <c r="E98" s="133">
        <v>1000725</v>
      </c>
      <c r="F98" s="134" t="str">
        <f t="shared" si="1"/>
        <v>MauritaniaCRSWNUIQ0235001</v>
      </c>
      <c r="G98" s="134" t="s">
        <v>187</v>
      </c>
      <c r="H98" s="153">
        <v>600455</v>
      </c>
      <c r="I98" s="140" t="s">
        <v>188</v>
      </c>
      <c r="J98" s="137" t="s">
        <v>170</v>
      </c>
    </row>
    <row r="99" spans="1:10" x14ac:dyDescent="0.3">
      <c r="A99" s="161"/>
      <c r="B99" s="201"/>
      <c r="C99" s="133" t="s">
        <v>101</v>
      </c>
      <c r="D99" s="133" t="s">
        <v>149</v>
      </c>
      <c r="E99" s="133">
        <v>1000725</v>
      </c>
      <c r="F99" s="134" t="str">
        <f t="shared" si="1"/>
        <v>MauritaniaMLSWHHMN1640001</v>
      </c>
      <c r="G99" s="134" t="s">
        <v>136</v>
      </c>
      <c r="H99" s="153">
        <v>11988305</v>
      </c>
      <c r="I99" s="140" t="s">
        <v>137</v>
      </c>
      <c r="J99" s="137" t="s">
        <v>51</v>
      </c>
    </row>
    <row r="100" spans="1:10" x14ac:dyDescent="0.3">
      <c r="A100" s="161"/>
      <c r="B100" s="201"/>
      <c r="C100" s="133" t="s">
        <v>101</v>
      </c>
      <c r="D100" s="133" t="s">
        <v>149</v>
      </c>
      <c r="E100" s="133">
        <v>1000725</v>
      </c>
      <c r="F100" s="135" t="str">
        <f t="shared" si="1"/>
        <v>MauritaniaMLSWHHMN1740001</v>
      </c>
      <c r="G100" s="135" t="s">
        <v>139</v>
      </c>
      <c r="H100" s="133">
        <v>11989305</v>
      </c>
      <c r="I100" s="139" t="s">
        <v>140</v>
      </c>
      <c r="J100" s="137" t="s">
        <v>51</v>
      </c>
    </row>
    <row r="101" spans="1:10" x14ac:dyDescent="0.3">
      <c r="A101" s="161"/>
      <c r="B101" s="201"/>
      <c r="C101" s="133" t="s">
        <v>101</v>
      </c>
      <c r="D101" s="133" t="s">
        <v>149</v>
      </c>
      <c r="E101" s="133">
        <v>1000725</v>
      </c>
      <c r="F101" s="135" t="str">
        <f t="shared" si="1"/>
        <v>MauritaniaMLSWHHMN1840001</v>
      </c>
      <c r="G101" s="135" t="s">
        <v>141</v>
      </c>
      <c r="H101" s="133">
        <v>11990305</v>
      </c>
      <c r="I101" s="139" t="s">
        <v>142</v>
      </c>
      <c r="J101" s="137" t="s">
        <v>51</v>
      </c>
    </row>
    <row r="102" spans="1:10" ht="15" thickBot="1" x14ac:dyDescent="0.35">
      <c r="A102" s="164"/>
      <c r="B102" s="202"/>
      <c r="C102" s="133" t="s">
        <v>101</v>
      </c>
      <c r="D102" s="133" t="s">
        <v>149</v>
      </c>
      <c r="E102" s="133">
        <v>1000725</v>
      </c>
      <c r="F102" s="135" t="str">
        <f t="shared" si="1"/>
        <v>MauritaniaMLSWHHMN0440001</v>
      </c>
      <c r="G102" s="135" t="s">
        <v>189</v>
      </c>
      <c r="H102" s="135">
        <v>13044305</v>
      </c>
      <c r="I102" s="139" t="s">
        <v>148</v>
      </c>
      <c r="J102" s="137" t="s">
        <v>51</v>
      </c>
    </row>
    <row r="103" spans="1:10" x14ac:dyDescent="0.3">
      <c r="A103" s="169" t="s">
        <v>190</v>
      </c>
      <c r="B103" s="204" t="s">
        <v>191</v>
      </c>
      <c r="C103" s="170" t="s">
        <v>101</v>
      </c>
      <c r="D103" s="128" t="s">
        <v>190</v>
      </c>
      <c r="E103" s="128">
        <v>1001087</v>
      </c>
      <c r="F103" s="150" t="str">
        <f t="shared" si="1"/>
        <v>EgyptMLSWHHEG0140001</v>
      </c>
      <c r="G103" s="159" t="s">
        <v>192</v>
      </c>
      <c r="H103" s="159">
        <v>16791305</v>
      </c>
      <c r="I103" s="160" t="s">
        <v>193</v>
      </c>
      <c r="J103" s="131" t="s">
        <v>51</v>
      </c>
    </row>
    <row r="104" spans="1:10" x14ac:dyDescent="0.3">
      <c r="A104" s="171"/>
      <c r="B104" s="205"/>
      <c r="C104" s="172" t="s">
        <v>101</v>
      </c>
      <c r="D104" s="133" t="s">
        <v>190</v>
      </c>
      <c r="E104" s="133">
        <v>1001087</v>
      </c>
      <c r="F104" s="134" t="str">
        <f t="shared" si="1"/>
        <v>EgyptMLSWHHEG0240001</v>
      </c>
      <c r="G104" s="138" t="s">
        <v>194</v>
      </c>
      <c r="H104" s="138">
        <v>16790305</v>
      </c>
      <c r="I104" s="140" t="s">
        <v>195</v>
      </c>
      <c r="J104" s="137" t="s">
        <v>51</v>
      </c>
    </row>
    <row r="105" spans="1:10" x14ac:dyDescent="0.3">
      <c r="A105" s="171"/>
      <c r="B105" s="205"/>
      <c r="C105" s="172" t="s">
        <v>101</v>
      </c>
      <c r="D105" s="133" t="s">
        <v>190</v>
      </c>
      <c r="E105" s="133">
        <v>1001087</v>
      </c>
      <c r="F105" s="134" t="str">
        <f t="shared" si="1"/>
        <v>EgyptMLSWHHEG0340001</v>
      </c>
      <c r="G105" s="138" t="s">
        <v>196</v>
      </c>
      <c r="H105" s="138">
        <v>16789305</v>
      </c>
      <c r="I105" s="140" t="s">
        <v>197</v>
      </c>
      <c r="J105" s="137" t="s">
        <v>51</v>
      </c>
    </row>
    <row r="106" spans="1:10" x14ac:dyDescent="0.3">
      <c r="A106" s="171"/>
      <c r="B106" s="205"/>
      <c r="C106" s="172" t="s">
        <v>101</v>
      </c>
      <c r="D106" s="133" t="s">
        <v>190</v>
      </c>
      <c r="E106" s="133">
        <v>1001087</v>
      </c>
      <c r="F106" s="134" t="str">
        <f t="shared" si="1"/>
        <v>EgyptMLSWHHEG0540001</v>
      </c>
      <c r="G106" s="138" t="s">
        <v>198</v>
      </c>
      <c r="H106" s="138">
        <v>16787305</v>
      </c>
      <c r="I106" s="140" t="s">
        <v>199</v>
      </c>
      <c r="J106" s="137" t="s">
        <v>51</v>
      </c>
    </row>
    <row r="107" spans="1:10" ht="15" thickBot="1" x14ac:dyDescent="0.35">
      <c r="A107" s="191"/>
      <c r="B107" s="206"/>
      <c r="C107" s="172" t="s">
        <v>101</v>
      </c>
      <c r="D107" s="133" t="s">
        <v>190</v>
      </c>
      <c r="E107" s="133">
        <v>1001087</v>
      </c>
      <c r="F107" s="134" t="str">
        <f t="shared" si="1"/>
        <v>EgyptMLSWHHEG1140001</v>
      </c>
      <c r="G107" s="134" t="s">
        <v>200</v>
      </c>
      <c r="H107" s="134">
        <v>16786305</v>
      </c>
      <c r="I107" s="140" t="s">
        <v>201</v>
      </c>
      <c r="J107" s="137" t="s">
        <v>51</v>
      </c>
    </row>
    <row r="108" spans="1:10" x14ac:dyDescent="0.3">
      <c r="A108" s="127" t="s">
        <v>202</v>
      </c>
      <c r="B108" s="200" t="s">
        <v>203</v>
      </c>
      <c r="C108" s="128" t="s">
        <v>47</v>
      </c>
      <c r="D108" s="128" t="s">
        <v>202</v>
      </c>
      <c r="E108" s="128"/>
      <c r="F108" s="149" t="str">
        <f t="shared" si="1"/>
        <v>ICMLPRHHPX0140002</v>
      </c>
      <c r="G108" s="150" t="s">
        <v>151</v>
      </c>
      <c r="H108" s="150">
        <v>16453305</v>
      </c>
      <c r="I108" s="130" t="s">
        <v>152</v>
      </c>
      <c r="J108" s="131" t="s">
        <v>51</v>
      </c>
    </row>
    <row r="109" spans="1:10" x14ac:dyDescent="0.3">
      <c r="A109" s="132" t="s">
        <v>204</v>
      </c>
      <c r="B109" s="201" t="s">
        <v>205</v>
      </c>
      <c r="C109" s="133" t="s">
        <v>47</v>
      </c>
      <c r="D109" s="133" t="s">
        <v>202</v>
      </c>
      <c r="E109" s="133"/>
      <c r="F109" s="133" t="str">
        <f t="shared" si="1"/>
        <v>ICMLPRHHPX0240002</v>
      </c>
      <c r="G109" s="133" t="s">
        <v>153</v>
      </c>
      <c r="H109" s="141">
        <v>16455305</v>
      </c>
      <c r="I109" s="139" t="s">
        <v>154</v>
      </c>
      <c r="J109" s="137" t="s">
        <v>51</v>
      </c>
    </row>
    <row r="110" spans="1:10" x14ac:dyDescent="0.3">
      <c r="A110" s="132" t="s">
        <v>204</v>
      </c>
      <c r="B110" s="201" t="s">
        <v>205</v>
      </c>
      <c r="C110" s="133" t="s">
        <v>47</v>
      </c>
      <c r="D110" s="133" t="s">
        <v>202</v>
      </c>
      <c r="E110" s="133"/>
      <c r="F110" s="143" t="str">
        <f t="shared" si="1"/>
        <v>ICMLPRHHPX0340002</v>
      </c>
      <c r="G110" s="133" t="s">
        <v>155</v>
      </c>
      <c r="H110" s="141">
        <v>16457305</v>
      </c>
      <c r="I110" s="139" t="s">
        <v>156</v>
      </c>
      <c r="J110" s="137" t="s">
        <v>51</v>
      </c>
    </row>
    <row r="111" spans="1:10" x14ac:dyDescent="0.3">
      <c r="A111" s="132" t="s">
        <v>204</v>
      </c>
      <c r="B111" s="201" t="s">
        <v>205</v>
      </c>
      <c r="C111" s="133" t="s">
        <v>47</v>
      </c>
      <c r="D111" s="133" t="s">
        <v>202</v>
      </c>
      <c r="E111" s="133"/>
      <c r="F111" s="141" t="str">
        <f t="shared" si="1"/>
        <v>ICMLPRHHPX0440002</v>
      </c>
      <c r="G111" s="133" t="s">
        <v>157</v>
      </c>
      <c r="H111" s="141">
        <v>16592305</v>
      </c>
      <c r="I111" s="139" t="s">
        <v>158</v>
      </c>
      <c r="J111" s="137" t="s">
        <v>51</v>
      </c>
    </row>
    <row r="112" spans="1:10" x14ac:dyDescent="0.3">
      <c r="A112" s="132"/>
      <c r="B112" s="201"/>
      <c r="C112" s="133" t="s">
        <v>47</v>
      </c>
      <c r="D112" s="133" t="s">
        <v>202</v>
      </c>
      <c r="E112" s="133"/>
      <c r="F112" s="141" t="str">
        <f t="shared" si="1"/>
        <v>ICMLPRHHPX0540001</v>
      </c>
      <c r="G112" s="141" t="s">
        <v>159</v>
      </c>
      <c r="H112" s="133">
        <v>16614305</v>
      </c>
      <c r="I112" s="136" t="s">
        <v>160</v>
      </c>
      <c r="J112" s="137" t="s">
        <v>51</v>
      </c>
    </row>
    <row r="113" spans="1:10" x14ac:dyDescent="0.3">
      <c r="A113" s="132" t="s">
        <v>204</v>
      </c>
      <c r="B113" s="201" t="s">
        <v>205</v>
      </c>
      <c r="C113" s="133" t="s">
        <v>47</v>
      </c>
      <c r="D113" s="133" t="s">
        <v>202</v>
      </c>
      <c r="E113" s="133"/>
      <c r="F113" s="133" t="str">
        <f t="shared" si="1"/>
        <v>ICMLPRHHPX1140002</v>
      </c>
      <c r="G113" s="133" t="s">
        <v>161</v>
      </c>
      <c r="H113" s="141">
        <v>16460305</v>
      </c>
      <c r="I113" s="139" t="s">
        <v>162</v>
      </c>
      <c r="J113" s="137" t="s">
        <v>51</v>
      </c>
    </row>
    <row r="114" spans="1:10" x14ac:dyDescent="0.3">
      <c r="A114" s="132"/>
      <c r="B114" s="201"/>
      <c r="C114" s="133" t="s">
        <v>47</v>
      </c>
      <c r="D114" s="133" t="s">
        <v>202</v>
      </c>
      <c r="E114" s="133"/>
      <c r="F114" s="141" t="str">
        <f t="shared" si="1"/>
        <v>ICMLPUHHPX0140001</v>
      </c>
      <c r="G114" s="134" t="s">
        <v>206</v>
      </c>
      <c r="H114" s="134">
        <v>16630335</v>
      </c>
      <c r="I114" s="152" t="s">
        <v>207</v>
      </c>
      <c r="J114" s="137" t="s">
        <v>51</v>
      </c>
    </row>
    <row r="115" spans="1:10" x14ac:dyDescent="0.3">
      <c r="A115" s="132"/>
      <c r="B115" s="201"/>
      <c r="C115" s="133" t="s">
        <v>47</v>
      </c>
      <c r="D115" s="133" t="s">
        <v>202</v>
      </c>
      <c r="E115" s="133"/>
      <c r="F115" s="141" t="str">
        <f t="shared" si="1"/>
        <v>ICMLPUHHPX0240001</v>
      </c>
      <c r="G115" s="134" t="s">
        <v>208</v>
      </c>
      <c r="H115" s="134">
        <v>16631335</v>
      </c>
      <c r="I115" s="152" t="s">
        <v>209</v>
      </c>
      <c r="J115" s="137" t="s">
        <v>51</v>
      </c>
    </row>
    <row r="116" spans="1:10" x14ac:dyDescent="0.3">
      <c r="A116" s="132"/>
      <c r="B116" s="201"/>
      <c r="C116" s="133" t="s">
        <v>47</v>
      </c>
      <c r="D116" s="133" t="s">
        <v>202</v>
      </c>
      <c r="E116" s="133"/>
      <c r="F116" s="141" t="str">
        <f t="shared" si="1"/>
        <v>ICMLPUHHPX0340001</v>
      </c>
      <c r="G116" s="135" t="s">
        <v>210</v>
      </c>
      <c r="H116" s="135">
        <v>16632335</v>
      </c>
      <c r="I116" s="139" t="s">
        <v>211</v>
      </c>
      <c r="J116" s="137" t="s">
        <v>51</v>
      </c>
    </row>
    <row r="117" spans="1:10" x14ac:dyDescent="0.3">
      <c r="A117" s="132"/>
      <c r="B117" s="201"/>
      <c r="C117" s="133" t="s">
        <v>47</v>
      </c>
      <c r="D117" s="133" t="s">
        <v>202</v>
      </c>
      <c r="E117" s="133"/>
      <c r="F117" s="133" t="str">
        <f t="shared" si="1"/>
        <v>ICMLPUHHPX0440001</v>
      </c>
      <c r="G117" s="135" t="s">
        <v>212</v>
      </c>
      <c r="H117" s="135">
        <v>16634335</v>
      </c>
      <c r="I117" s="139" t="s">
        <v>213</v>
      </c>
      <c r="J117" s="137" t="s">
        <v>51</v>
      </c>
    </row>
    <row r="118" spans="1:10" x14ac:dyDescent="0.3">
      <c r="A118" s="132"/>
      <c r="B118" s="201"/>
      <c r="C118" s="133" t="s">
        <v>47</v>
      </c>
      <c r="D118" s="133" t="s">
        <v>202</v>
      </c>
      <c r="E118" s="133"/>
      <c r="F118" s="133" t="str">
        <f t="shared" si="1"/>
        <v>ICMLPUHHPX0540001</v>
      </c>
      <c r="G118" s="135" t="s">
        <v>214</v>
      </c>
      <c r="H118" s="135">
        <v>16638335</v>
      </c>
      <c r="I118" s="139" t="s">
        <v>215</v>
      </c>
      <c r="J118" s="137" t="s">
        <v>51</v>
      </c>
    </row>
    <row r="119" spans="1:10" x14ac:dyDescent="0.3">
      <c r="A119" s="132" t="s">
        <v>204</v>
      </c>
      <c r="B119" s="201" t="s">
        <v>205</v>
      </c>
      <c r="C119" s="133" t="s">
        <v>47</v>
      </c>
      <c r="D119" s="133" t="s">
        <v>202</v>
      </c>
      <c r="E119" s="133"/>
      <c r="F119" s="133" t="str">
        <f t="shared" si="1"/>
        <v>ICMLPRFCPX1540001</v>
      </c>
      <c r="G119" s="133" t="s">
        <v>216</v>
      </c>
      <c r="H119" s="133">
        <v>406445</v>
      </c>
      <c r="I119" s="139" t="s">
        <v>217</v>
      </c>
      <c r="J119" s="137" t="s">
        <v>66</v>
      </c>
    </row>
    <row r="120" spans="1:10" x14ac:dyDescent="0.3">
      <c r="A120" s="132" t="s">
        <v>204</v>
      </c>
      <c r="B120" s="201" t="s">
        <v>205</v>
      </c>
      <c r="C120" s="133" t="s">
        <v>47</v>
      </c>
      <c r="D120" s="133" t="s">
        <v>202</v>
      </c>
      <c r="E120" s="133"/>
      <c r="F120" s="141" t="str">
        <f t="shared" si="1"/>
        <v>ICMLPRFCPX1440001</v>
      </c>
      <c r="G120" s="141" t="s">
        <v>218</v>
      </c>
      <c r="H120" s="134">
        <v>420506</v>
      </c>
      <c r="I120" s="140" t="s">
        <v>219</v>
      </c>
      <c r="J120" s="137" t="s">
        <v>66</v>
      </c>
    </row>
    <row r="121" spans="1:10" x14ac:dyDescent="0.3">
      <c r="A121" s="132"/>
      <c r="B121" s="201"/>
      <c r="C121" s="133" t="s">
        <v>47</v>
      </c>
      <c r="D121" s="133" t="s">
        <v>202</v>
      </c>
      <c r="E121" s="133"/>
      <c r="F121" s="133" t="str">
        <f t="shared" si="1"/>
        <v>ICCRPRNUMN0125001</v>
      </c>
      <c r="G121" s="133" t="s">
        <v>220</v>
      </c>
      <c r="H121" s="142">
        <v>600154</v>
      </c>
      <c r="I121" s="151" t="s">
        <v>221</v>
      </c>
      <c r="J121" s="137" t="s">
        <v>170</v>
      </c>
    </row>
    <row r="122" spans="1:10" x14ac:dyDescent="0.3">
      <c r="A122" s="132"/>
      <c r="B122" s="201"/>
      <c r="C122" s="133" t="s">
        <v>47</v>
      </c>
      <c r="D122" s="133" t="s">
        <v>202</v>
      </c>
      <c r="E122" s="133"/>
      <c r="F122" s="133" t="str">
        <f t="shared" si="1"/>
        <v>ICCRPRNUMN0225001</v>
      </c>
      <c r="G122" s="133" t="s">
        <v>222</v>
      </c>
      <c r="H122" s="143">
        <v>600151</v>
      </c>
      <c r="I122" s="152" t="s">
        <v>223</v>
      </c>
      <c r="J122" s="137" t="s">
        <v>170</v>
      </c>
    </row>
    <row r="123" spans="1:10" x14ac:dyDescent="0.3">
      <c r="A123" s="132"/>
      <c r="B123" s="201"/>
      <c r="C123" s="133" t="s">
        <v>47</v>
      </c>
      <c r="D123" s="133" t="s">
        <v>202</v>
      </c>
      <c r="E123" s="133"/>
      <c r="F123" s="153" t="str">
        <f t="shared" si="1"/>
        <v>ICCRPRNUMN0325001</v>
      </c>
      <c r="G123" s="153" t="s">
        <v>224</v>
      </c>
      <c r="H123" s="141">
        <v>600152</v>
      </c>
      <c r="I123" s="136" t="s">
        <v>225</v>
      </c>
      <c r="J123" s="137" t="s">
        <v>170</v>
      </c>
    </row>
    <row r="124" spans="1:10" x14ac:dyDescent="0.3">
      <c r="A124" s="132"/>
      <c r="B124" s="201"/>
      <c r="C124" s="133" t="s">
        <v>47</v>
      </c>
      <c r="D124" s="133" t="s">
        <v>202</v>
      </c>
      <c r="E124" s="133"/>
      <c r="F124" s="142" t="str">
        <f t="shared" si="1"/>
        <v>ICCRPRNUMN0425001</v>
      </c>
      <c r="G124" s="142" t="s">
        <v>226</v>
      </c>
      <c r="H124" s="141">
        <v>600150</v>
      </c>
      <c r="I124" s="136" t="s">
        <v>227</v>
      </c>
      <c r="J124" s="137" t="s">
        <v>170</v>
      </c>
    </row>
    <row r="125" spans="1:10" x14ac:dyDescent="0.3">
      <c r="A125" s="132"/>
      <c r="B125" s="201"/>
      <c r="C125" s="133" t="s">
        <v>47</v>
      </c>
      <c r="D125" s="133" t="s">
        <v>202</v>
      </c>
      <c r="E125" s="133"/>
      <c r="F125" s="143" t="str">
        <f t="shared" si="1"/>
        <v>ICCRPRNUMN0525001</v>
      </c>
      <c r="G125" s="143" t="s">
        <v>228</v>
      </c>
      <c r="H125" s="141">
        <v>600185</v>
      </c>
      <c r="I125" s="136" t="s">
        <v>229</v>
      </c>
      <c r="J125" s="137" t="s">
        <v>170</v>
      </c>
    </row>
    <row r="126" spans="1:10" ht="15" thickBot="1" x14ac:dyDescent="0.35">
      <c r="A126" s="144"/>
      <c r="B126" s="202"/>
      <c r="C126" s="145" t="s">
        <v>47</v>
      </c>
      <c r="D126" s="145" t="s">
        <v>202</v>
      </c>
      <c r="E126" s="145"/>
      <c r="F126" s="157" t="str">
        <f t="shared" si="1"/>
        <v>ICCRPRNUMN0625001</v>
      </c>
      <c r="G126" s="157" t="s">
        <v>230</v>
      </c>
      <c r="H126" s="157">
        <v>600184</v>
      </c>
      <c r="I126" s="147" t="s">
        <v>231</v>
      </c>
      <c r="J126" s="148" t="s">
        <v>170</v>
      </c>
    </row>
    <row r="127" spans="1:10" x14ac:dyDescent="0.3">
      <c r="A127" s="127" t="s">
        <v>202</v>
      </c>
      <c r="B127" s="200" t="s">
        <v>232</v>
      </c>
      <c r="C127" s="128" t="s">
        <v>101</v>
      </c>
      <c r="D127" s="128" t="s">
        <v>202</v>
      </c>
      <c r="E127" s="128"/>
      <c r="F127" s="128" t="str">
        <f t="shared" si="1"/>
        <v>ICMLNUHHAF0140001</v>
      </c>
      <c r="G127" s="173" t="s">
        <v>164</v>
      </c>
      <c r="H127" s="173">
        <v>16869305</v>
      </c>
      <c r="I127" s="130" t="s">
        <v>103</v>
      </c>
      <c r="J127" s="174" t="s">
        <v>51</v>
      </c>
    </row>
    <row r="128" spans="1:10" x14ac:dyDescent="0.3">
      <c r="A128" s="132"/>
      <c r="B128" s="201"/>
      <c r="C128" s="133" t="s">
        <v>101</v>
      </c>
      <c r="D128" s="133" t="s">
        <v>202</v>
      </c>
      <c r="E128" s="133"/>
      <c r="F128" s="134" t="str">
        <f t="shared" si="1"/>
        <v>ICMLNUHHAF0240001</v>
      </c>
      <c r="G128" s="141" t="s">
        <v>165</v>
      </c>
      <c r="H128" s="141">
        <v>16870305</v>
      </c>
      <c r="I128" s="136" t="s">
        <v>106</v>
      </c>
      <c r="J128" s="175" t="s">
        <v>51</v>
      </c>
    </row>
    <row r="129" spans="1:10" ht="15" thickBot="1" x14ac:dyDescent="0.35">
      <c r="A129" s="176"/>
      <c r="B129" s="202"/>
      <c r="C129" s="145" t="s">
        <v>101</v>
      </c>
      <c r="D129" s="145" t="s">
        <v>202</v>
      </c>
      <c r="E129" s="145"/>
      <c r="F129" s="145" t="str">
        <f t="shared" si="1"/>
        <v>ICMLNUHHAF0340001</v>
      </c>
      <c r="G129" s="177" t="s">
        <v>166</v>
      </c>
      <c r="H129" s="177">
        <v>16871305</v>
      </c>
      <c r="I129" s="178" t="s">
        <v>108</v>
      </c>
      <c r="J129" s="179" t="s">
        <v>51</v>
      </c>
    </row>
    <row r="130" spans="1:10" ht="15" thickTop="1" x14ac:dyDescent="0.3">
      <c r="A130" s="195" t="s">
        <v>204</v>
      </c>
      <c r="B130" s="200" t="s">
        <v>233</v>
      </c>
      <c r="C130" s="128" t="s">
        <v>47</v>
      </c>
      <c r="D130" s="128" t="s">
        <v>234</v>
      </c>
      <c r="E130" s="128"/>
      <c r="F130" s="149" t="str">
        <f t="shared" si="1"/>
        <v>FranceMLPRHHPX0140002</v>
      </c>
      <c r="G130" s="134" t="s">
        <v>151</v>
      </c>
      <c r="H130" s="134">
        <v>16453305</v>
      </c>
      <c r="I130" s="136" t="s">
        <v>152</v>
      </c>
      <c r="J130" s="137" t="s">
        <v>51</v>
      </c>
    </row>
    <row r="131" spans="1:10" x14ac:dyDescent="0.3">
      <c r="A131" s="132"/>
      <c r="B131" s="201"/>
      <c r="C131" s="133" t="s">
        <v>47</v>
      </c>
      <c r="D131" s="133" t="s">
        <v>234</v>
      </c>
      <c r="E131" s="133"/>
      <c r="F131" s="133" t="str">
        <f t="shared" si="1"/>
        <v>FranceMLPRHHPX0240002</v>
      </c>
      <c r="G131" s="133" t="s">
        <v>153</v>
      </c>
      <c r="H131" s="141">
        <v>16455305</v>
      </c>
      <c r="I131" s="139" t="s">
        <v>154</v>
      </c>
      <c r="J131" s="137" t="s">
        <v>51</v>
      </c>
    </row>
    <row r="132" spans="1:10" x14ac:dyDescent="0.3">
      <c r="A132" s="132"/>
      <c r="B132" s="201"/>
      <c r="C132" s="133" t="s">
        <v>47</v>
      </c>
      <c r="D132" s="133" t="s">
        <v>234</v>
      </c>
      <c r="E132" s="133"/>
      <c r="F132" s="143" t="str">
        <f t="shared" si="1"/>
        <v>FranceMLPRHHPX0340002</v>
      </c>
      <c r="G132" s="133" t="s">
        <v>155</v>
      </c>
      <c r="H132" s="141">
        <v>16457305</v>
      </c>
      <c r="I132" s="139" t="s">
        <v>156</v>
      </c>
      <c r="J132" s="137" t="s">
        <v>51</v>
      </c>
    </row>
    <row r="133" spans="1:10" x14ac:dyDescent="0.3">
      <c r="A133" s="132"/>
      <c r="B133" s="201"/>
      <c r="C133" s="133" t="s">
        <v>47</v>
      </c>
      <c r="D133" s="133" t="s">
        <v>234</v>
      </c>
      <c r="E133" s="133"/>
      <c r="F133" s="141" t="str">
        <f t="shared" si="1"/>
        <v>FranceMLPRHHPX0440002</v>
      </c>
      <c r="G133" s="133" t="s">
        <v>157</v>
      </c>
      <c r="H133" s="141">
        <v>16592305</v>
      </c>
      <c r="I133" s="139" t="s">
        <v>158</v>
      </c>
      <c r="J133" s="137" t="s">
        <v>51</v>
      </c>
    </row>
    <row r="134" spans="1:10" x14ac:dyDescent="0.3">
      <c r="A134" s="132"/>
      <c r="B134" s="201"/>
      <c r="C134" s="133" t="s">
        <v>47</v>
      </c>
      <c r="D134" s="133" t="s">
        <v>234</v>
      </c>
      <c r="E134" s="133"/>
      <c r="F134" s="141" t="str">
        <f t="shared" si="1"/>
        <v>FranceMLPRHHPX0540001</v>
      </c>
      <c r="G134" s="141" t="s">
        <v>159</v>
      </c>
      <c r="H134" s="133">
        <v>16614305</v>
      </c>
      <c r="I134" s="136" t="s">
        <v>160</v>
      </c>
      <c r="J134" s="137" t="s">
        <v>51</v>
      </c>
    </row>
    <row r="135" spans="1:10" x14ac:dyDescent="0.3">
      <c r="A135" s="132"/>
      <c r="B135" s="201"/>
      <c r="C135" s="133" t="s">
        <v>47</v>
      </c>
      <c r="D135" s="133" t="s">
        <v>234</v>
      </c>
      <c r="E135" s="133"/>
      <c r="F135" s="133" t="str">
        <f t="shared" si="1"/>
        <v>FranceMLPRHHPX1140002</v>
      </c>
      <c r="G135" s="133" t="s">
        <v>161</v>
      </c>
      <c r="H135" s="141">
        <v>16460305</v>
      </c>
      <c r="I135" s="139" t="s">
        <v>162</v>
      </c>
      <c r="J135" s="137" t="s">
        <v>51</v>
      </c>
    </row>
    <row r="136" spans="1:10" x14ac:dyDescent="0.3">
      <c r="A136" s="132"/>
      <c r="B136" s="201"/>
      <c r="C136" s="133" t="s">
        <v>47</v>
      </c>
      <c r="D136" s="133" t="s">
        <v>234</v>
      </c>
      <c r="E136" s="133"/>
      <c r="F136" s="141" t="str">
        <f t="shared" si="1"/>
        <v>FranceMLPRFCPX1540001</v>
      </c>
      <c r="G136" s="134" t="s">
        <v>216</v>
      </c>
      <c r="H136" s="134">
        <v>406445</v>
      </c>
      <c r="I136" s="152" t="s">
        <v>217</v>
      </c>
      <c r="J136" s="137" t="s">
        <v>66</v>
      </c>
    </row>
    <row r="137" spans="1:10" x14ac:dyDescent="0.3">
      <c r="A137" s="132"/>
      <c r="B137" s="201"/>
      <c r="C137" s="133" t="s">
        <v>47</v>
      </c>
      <c r="D137" s="133" t="s">
        <v>234</v>
      </c>
      <c r="E137" s="133"/>
      <c r="F137" s="141" t="str">
        <f t="shared" si="1"/>
        <v>FranceMLPRFCPX1440001</v>
      </c>
      <c r="G137" s="134" t="s">
        <v>218</v>
      </c>
      <c r="H137" s="134">
        <v>420506</v>
      </c>
      <c r="I137" s="152" t="s">
        <v>219</v>
      </c>
      <c r="J137" s="137" t="s">
        <v>66</v>
      </c>
    </row>
    <row r="138" spans="1:10" ht="15" thickBot="1" x14ac:dyDescent="0.35">
      <c r="A138" s="144"/>
      <c r="B138" s="202"/>
      <c r="C138" s="133" t="s">
        <v>47</v>
      </c>
      <c r="D138" s="133" t="s">
        <v>234</v>
      </c>
      <c r="E138" s="133"/>
      <c r="F138" s="141" t="str">
        <f t="shared" si="1"/>
        <v>FranceMLPSHHMN1240001</v>
      </c>
      <c r="G138" s="135" t="s">
        <v>235</v>
      </c>
      <c r="H138" s="135">
        <v>16037335</v>
      </c>
      <c r="I138" s="139" t="s">
        <v>122</v>
      </c>
      <c r="J138" s="137" t="s">
        <v>51</v>
      </c>
    </row>
    <row r="139" spans="1:10" x14ac:dyDescent="0.3">
      <c r="A139" s="127" t="s">
        <v>236</v>
      </c>
      <c r="B139" s="200" t="s">
        <v>237</v>
      </c>
      <c r="C139" s="128" t="s">
        <v>47</v>
      </c>
      <c r="D139" s="128" t="s">
        <v>236</v>
      </c>
      <c r="E139" s="128">
        <v>1000764</v>
      </c>
      <c r="F139" s="128" t="str">
        <f t="shared" si="1"/>
        <v>MaliMLPRHHPX0140002</v>
      </c>
      <c r="G139" s="128" t="s">
        <v>151</v>
      </c>
      <c r="H139" s="128">
        <v>16453305</v>
      </c>
      <c r="I139" s="154" t="s">
        <v>152</v>
      </c>
      <c r="J139" s="131" t="s">
        <v>51</v>
      </c>
    </row>
    <row r="140" spans="1:10" x14ac:dyDescent="0.3">
      <c r="A140" s="132"/>
      <c r="B140" s="201"/>
      <c r="C140" s="133" t="s">
        <v>47</v>
      </c>
      <c r="D140" s="133" t="s">
        <v>236</v>
      </c>
      <c r="E140" s="133">
        <v>1000764</v>
      </c>
      <c r="F140" s="134" t="str">
        <f t="shared" ref="F140:F226" si="2">+_xlfn.CONCAT(D140,G140)</f>
        <v>MaliMLPRHHPX0240002</v>
      </c>
      <c r="G140" s="134" t="s">
        <v>153</v>
      </c>
      <c r="H140" s="134">
        <v>16455305</v>
      </c>
      <c r="I140" s="140" t="s">
        <v>154</v>
      </c>
      <c r="J140" s="137" t="s">
        <v>51</v>
      </c>
    </row>
    <row r="141" spans="1:10" x14ac:dyDescent="0.3">
      <c r="A141" s="132"/>
      <c r="B141" s="201"/>
      <c r="C141" s="133" t="s">
        <v>47</v>
      </c>
      <c r="D141" s="133" t="s">
        <v>236</v>
      </c>
      <c r="E141" s="133">
        <v>1000764</v>
      </c>
      <c r="F141" s="133" t="str">
        <f t="shared" si="2"/>
        <v>MaliMLPRHHPX0340002</v>
      </c>
      <c r="G141" s="134" t="s">
        <v>155</v>
      </c>
      <c r="H141" s="134">
        <v>16457305</v>
      </c>
      <c r="I141" s="140" t="s">
        <v>156</v>
      </c>
      <c r="J141" s="137" t="s">
        <v>51</v>
      </c>
    </row>
    <row r="142" spans="1:10" x14ac:dyDescent="0.3">
      <c r="A142" s="132"/>
      <c r="B142" s="201"/>
      <c r="C142" s="133" t="s">
        <v>47</v>
      </c>
      <c r="D142" s="133" t="s">
        <v>236</v>
      </c>
      <c r="E142" s="133">
        <v>1000764</v>
      </c>
      <c r="F142" s="134" t="str">
        <f t="shared" si="2"/>
        <v>MaliMLPRHHPX0440002</v>
      </c>
      <c r="G142" s="135" t="s">
        <v>157</v>
      </c>
      <c r="H142" s="135">
        <v>16592305</v>
      </c>
      <c r="I142" s="136" t="s">
        <v>158</v>
      </c>
      <c r="J142" s="137" t="s">
        <v>51</v>
      </c>
    </row>
    <row r="143" spans="1:10" x14ac:dyDescent="0.3">
      <c r="A143" s="132"/>
      <c r="B143" s="201"/>
      <c r="C143" s="133" t="s">
        <v>47</v>
      </c>
      <c r="D143" s="133" t="s">
        <v>236</v>
      </c>
      <c r="E143" s="133">
        <v>1000764</v>
      </c>
      <c r="F143" s="133" t="str">
        <f t="shared" si="2"/>
        <v>MaliMLPRHHPX0540001</v>
      </c>
      <c r="G143" s="134" t="s">
        <v>159</v>
      </c>
      <c r="H143" s="134">
        <v>16614305</v>
      </c>
      <c r="I143" s="139" t="s">
        <v>160</v>
      </c>
      <c r="J143" s="137" t="s">
        <v>51</v>
      </c>
    </row>
    <row r="144" spans="1:10" x14ac:dyDescent="0.3">
      <c r="A144" s="132"/>
      <c r="B144" s="201"/>
      <c r="C144" s="133" t="s">
        <v>47</v>
      </c>
      <c r="D144" s="133" t="s">
        <v>236</v>
      </c>
      <c r="E144" s="133">
        <v>1000764</v>
      </c>
      <c r="F144" s="134" t="str">
        <f t="shared" si="2"/>
        <v>MaliMLPRHHPX1140002</v>
      </c>
      <c r="G144" s="141" t="s">
        <v>161</v>
      </c>
      <c r="H144" s="141">
        <v>16460305</v>
      </c>
      <c r="I144" s="136" t="s">
        <v>162</v>
      </c>
      <c r="J144" s="137" t="s">
        <v>51</v>
      </c>
    </row>
    <row r="145" spans="1:10" x14ac:dyDescent="0.3">
      <c r="A145" s="132"/>
      <c r="B145" s="201"/>
      <c r="C145" s="133" t="s">
        <v>47</v>
      </c>
      <c r="D145" s="133" t="s">
        <v>236</v>
      </c>
      <c r="E145" s="133">
        <v>1000764</v>
      </c>
      <c r="F145" s="134" t="str">
        <f t="shared" si="2"/>
        <v>MaliMLPRHHMN1440001</v>
      </c>
      <c r="G145" s="141" t="s">
        <v>62</v>
      </c>
      <c r="H145" s="141">
        <v>16466305</v>
      </c>
      <c r="I145" s="136" t="s">
        <v>63</v>
      </c>
      <c r="J145" s="137" t="s">
        <v>51</v>
      </c>
    </row>
    <row r="146" spans="1:10" x14ac:dyDescent="0.3">
      <c r="A146" s="132"/>
      <c r="B146" s="201"/>
      <c r="C146" s="133" t="s">
        <v>47</v>
      </c>
      <c r="D146" s="133" t="s">
        <v>236</v>
      </c>
      <c r="E146" s="133">
        <v>1000764</v>
      </c>
      <c r="F146" s="133" t="str">
        <f t="shared" si="2"/>
        <v>MaliMLPSHHMN1240002</v>
      </c>
      <c r="G146" s="141" t="s">
        <v>121</v>
      </c>
      <c r="H146" s="141">
        <v>16679335</v>
      </c>
      <c r="I146" s="136" t="s">
        <v>122</v>
      </c>
      <c r="J146" s="137" t="s">
        <v>51</v>
      </c>
    </row>
    <row r="147" spans="1:10" x14ac:dyDescent="0.3">
      <c r="A147" s="132"/>
      <c r="B147" s="201"/>
      <c r="C147" s="133" t="s">
        <v>47</v>
      </c>
      <c r="D147" s="133" t="s">
        <v>236</v>
      </c>
      <c r="E147" s="133">
        <v>1000764</v>
      </c>
      <c r="F147" s="134" t="str">
        <f t="shared" si="2"/>
        <v>MaliMLPRFCPX1440001</v>
      </c>
      <c r="G147" s="141" t="s">
        <v>218</v>
      </c>
      <c r="H147" s="141">
        <v>420506</v>
      </c>
      <c r="I147" s="136" t="s">
        <v>219</v>
      </c>
      <c r="J147" s="137" t="s">
        <v>66</v>
      </c>
    </row>
    <row r="148" spans="1:10" x14ac:dyDescent="0.3">
      <c r="A148" s="132"/>
      <c r="B148" s="201"/>
      <c r="C148" s="133" t="s">
        <v>47</v>
      </c>
      <c r="D148" s="133" t="s">
        <v>236</v>
      </c>
      <c r="E148" s="133">
        <v>1000764</v>
      </c>
      <c r="F148" s="135" t="str">
        <f t="shared" si="2"/>
        <v>MaliCRPRNUMN0125001</v>
      </c>
      <c r="G148" s="141" t="s">
        <v>220</v>
      </c>
      <c r="H148" s="141">
        <v>600154</v>
      </c>
      <c r="I148" s="136" t="s">
        <v>221</v>
      </c>
      <c r="J148" s="137" t="s">
        <v>170</v>
      </c>
    </row>
    <row r="149" spans="1:10" x14ac:dyDescent="0.3">
      <c r="A149" s="132"/>
      <c r="B149" s="201"/>
      <c r="C149" s="133" t="s">
        <v>47</v>
      </c>
      <c r="D149" s="133" t="s">
        <v>236</v>
      </c>
      <c r="E149" s="133">
        <v>1000764</v>
      </c>
      <c r="F149" s="141" t="str">
        <f t="shared" si="2"/>
        <v>MaliCRPRNUMN0225001</v>
      </c>
      <c r="G149" s="141" t="s">
        <v>222</v>
      </c>
      <c r="H149" s="141">
        <v>600151</v>
      </c>
      <c r="I149" s="136" t="s">
        <v>223</v>
      </c>
      <c r="J149" s="137" t="s">
        <v>170</v>
      </c>
    </row>
    <row r="150" spans="1:10" x14ac:dyDescent="0.3">
      <c r="A150" s="132"/>
      <c r="B150" s="201"/>
      <c r="C150" s="133" t="s">
        <v>47</v>
      </c>
      <c r="D150" s="133" t="s">
        <v>236</v>
      </c>
      <c r="E150" s="133">
        <v>1000764</v>
      </c>
      <c r="F150" s="141" t="str">
        <f t="shared" si="2"/>
        <v>MaliCRPRNUMN0325001</v>
      </c>
      <c r="G150" s="141" t="s">
        <v>224</v>
      </c>
      <c r="H150" s="141">
        <v>600152</v>
      </c>
      <c r="I150" s="136" t="s">
        <v>225</v>
      </c>
      <c r="J150" s="137" t="s">
        <v>170</v>
      </c>
    </row>
    <row r="151" spans="1:10" x14ac:dyDescent="0.3">
      <c r="A151" s="132"/>
      <c r="B151" s="201"/>
      <c r="C151" s="133" t="s">
        <v>47</v>
      </c>
      <c r="D151" s="133" t="s">
        <v>236</v>
      </c>
      <c r="E151" s="133">
        <v>1000764</v>
      </c>
      <c r="F151" s="142" t="str">
        <f t="shared" si="2"/>
        <v>MaliCRPRNUMN0425001</v>
      </c>
      <c r="G151" s="180" t="s">
        <v>226</v>
      </c>
      <c r="H151" s="134">
        <v>600150</v>
      </c>
      <c r="I151" s="181" t="s">
        <v>227</v>
      </c>
      <c r="J151" s="137" t="s">
        <v>170</v>
      </c>
    </row>
    <row r="152" spans="1:10" x14ac:dyDescent="0.3">
      <c r="A152" s="132"/>
      <c r="B152" s="201"/>
      <c r="C152" s="133" t="s">
        <v>47</v>
      </c>
      <c r="D152" s="133" t="s">
        <v>236</v>
      </c>
      <c r="E152" s="133">
        <v>1000764</v>
      </c>
      <c r="F152" s="143" t="str">
        <f t="shared" si="2"/>
        <v>MaliCRPRNUMN0525001</v>
      </c>
      <c r="G152" s="143" t="s">
        <v>228</v>
      </c>
      <c r="H152" s="143">
        <v>600185</v>
      </c>
      <c r="I152" s="152" t="s">
        <v>229</v>
      </c>
      <c r="J152" s="137" t="s">
        <v>170</v>
      </c>
    </row>
    <row r="153" spans="1:10" ht="15" thickBot="1" x14ac:dyDescent="0.35">
      <c r="A153" s="144"/>
      <c r="B153" s="202"/>
      <c r="C153" s="145" t="s">
        <v>47</v>
      </c>
      <c r="D153" s="145" t="s">
        <v>236</v>
      </c>
      <c r="E153" s="145">
        <v>1000764</v>
      </c>
      <c r="F153" s="146" t="str">
        <f t="shared" si="2"/>
        <v>MaliCRPRNUMN0625001</v>
      </c>
      <c r="G153" s="146" t="s">
        <v>230</v>
      </c>
      <c r="H153" s="146">
        <v>600184</v>
      </c>
      <c r="I153" s="147" t="s">
        <v>231</v>
      </c>
      <c r="J153" s="148" t="s">
        <v>170</v>
      </c>
    </row>
    <row r="154" spans="1:10" x14ac:dyDescent="0.3">
      <c r="A154" s="192" t="s">
        <v>238</v>
      </c>
      <c r="B154" s="207" t="s">
        <v>239</v>
      </c>
      <c r="C154" s="128" t="s">
        <v>47</v>
      </c>
      <c r="D154" s="128" t="s">
        <v>238</v>
      </c>
      <c r="E154" s="128">
        <v>1000229</v>
      </c>
      <c r="F154" s="149" t="str">
        <f t="shared" si="2"/>
        <v>CameroonMLPRHHPX0140002</v>
      </c>
      <c r="G154" s="150" t="s">
        <v>151</v>
      </c>
      <c r="H154" s="150">
        <v>16453305</v>
      </c>
      <c r="I154" s="130" t="s">
        <v>152</v>
      </c>
      <c r="J154" s="131" t="s">
        <v>51</v>
      </c>
    </row>
    <row r="155" spans="1:10" x14ac:dyDescent="0.3">
      <c r="A155" s="193"/>
      <c r="B155" s="208" t="s">
        <v>239</v>
      </c>
      <c r="C155" s="133" t="s">
        <v>47</v>
      </c>
      <c r="D155" s="133" t="s">
        <v>238</v>
      </c>
      <c r="E155" s="133">
        <v>1000229</v>
      </c>
      <c r="F155" s="133" t="str">
        <f t="shared" si="2"/>
        <v>CameroonMLPRHHPX0240002</v>
      </c>
      <c r="G155" s="133" t="s">
        <v>153</v>
      </c>
      <c r="H155" s="135">
        <v>16455305</v>
      </c>
      <c r="I155" s="136" t="s">
        <v>154</v>
      </c>
      <c r="J155" s="137" t="s">
        <v>51</v>
      </c>
    </row>
    <row r="156" spans="1:10" x14ac:dyDescent="0.3">
      <c r="A156" s="193"/>
      <c r="B156" s="208" t="s">
        <v>239</v>
      </c>
      <c r="C156" s="133" t="s">
        <v>47</v>
      </c>
      <c r="D156" s="133" t="s">
        <v>238</v>
      </c>
      <c r="E156" s="133">
        <v>1000229</v>
      </c>
      <c r="F156" s="133" t="str">
        <f t="shared" si="2"/>
        <v>CameroonMLPRHHPX0340002</v>
      </c>
      <c r="G156" s="133" t="s">
        <v>155</v>
      </c>
      <c r="H156" s="141">
        <v>16457305</v>
      </c>
      <c r="I156" s="139" t="s">
        <v>156</v>
      </c>
      <c r="J156" s="137" t="s">
        <v>51</v>
      </c>
    </row>
    <row r="157" spans="1:10" x14ac:dyDescent="0.3">
      <c r="A157" s="193"/>
      <c r="B157" s="208"/>
      <c r="C157" s="133" t="s">
        <v>47</v>
      </c>
      <c r="D157" s="133" t="s">
        <v>238</v>
      </c>
      <c r="E157" s="133">
        <v>1000229</v>
      </c>
      <c r="F157" s="133" t="str">
        <f t="shared" si="2"/>
        <v>CameroonMLPRHHPX0440002</v>
      </c>
      <c r="G157" s="133" t="s">
        <v>157</v>
      </c>
      <c r="H157" s="135">
        <v>16592305</v>
      </c>
      <c r="I157" s="136" t="s">
        <v>158</v>
      </c>
      <c r="J157" s="137" t="s">
        <v>51</v>
      </c>
    </row>
    <row r="158" spans="1:10" x14ac:dyDescent="0.3">
      <c r="A158" s="193"/>
      <c r="B158" s="208" t="s">
        <v>239</v>
      </c>
      <c r="C158" s="133" t="s">
        <v>47</v>
      </c>
      <c r="D158" s="133" t="s">
        <v>238</v>
      </c>
      <c r="E158" s="133">
        <v>1000229</v>
      </c>
      <c r="F158" s="143" t="str">
        <f t="shared" si="2"/>
        <v>CameroonMLPRHHPX0540001</v>
      </c>
      <c r="G158" s="133" t="s">
        <v>159</v>
      </c>
      <c r="H158" s="141">
        <v>16614305</v>
      </c>
      <c r="I158" s="139" t="s">
        <v>160</v>
      </c>
      <c r="J158" s="137" t="s">
        <v>51</v>
      </c>
    </row>
    <row r="159" spans="1:10" x14ac:dyDescent="0.3">
      <c r="A159" s="193"/>
      <c r="B159" s="208" t="s">
        <v>239</v>
      </c>
      <c r="C159" s="133" t="s">
        <v>47</v>
      </c>
      <c r="D159" s="133" t="s">
        <v>238</v>
      </c>
      <c r="E159" s="133">
        <v>1000229</v>
      </c>
      <c r="F159" s="141" t="str">
        <f t="shared" si="2"/>
        <v>CameroonMLPRHHPX1140002</v>
      </c>
      <c r="G159" s="133" t="s">
        <v>161</v>
      </c>
      <c r="H159" s="135">
        <v>16460305</v>
      </c>
      <c r="I159" s="136" t="s">
        <v>162</v>
      </c>
      <c r="J159" s="137" t="s">
        <v>51</v>
      </c>
    </row>
    <row r="160" spans="1:10" x14ac:dyDescent="0.3">
      <c r="A160" s="193"/>
      <c r="B160" s="208" t="s">
        <v>239</v>
      </c>
      <c r="C160" s="133" t="s">
        <v>47</v>
      </c>
      <c r="D160" s="133" t="s">
        <v>238</v>
      </c>
      <c r="E160" s="133">
        <v>1000229</v>
      </c>
      <c r="F160" s="141" t="str">
        <f t="shared" si="2"/>
        <v>CameroonMLPRHHMN0940001</v>
      </c>
      <c r="G160" s="133" t="s">
        <v>116</v>
      </c>
      <c r="H160" s="141">
        <v>11918305</v>
      </c>
      <c r="I160" s="139" t="s">
        <v>117</v>
      </c>
      <c r="J160" s="137" t="s">
        <v>51</v>
      </c>
    </row>
    <row r="161" spans="1:10" x14ac:dyDescent="0.3">
      <c r="A161" s="193"/>
      <c r="B161" s="208" t="s">
        <v>239</v>
      </c>
      <c r="C161" s="133" t="s">
        <v>47</v>
      </c>
      <c r="D161" s="133" t="s">
        <v>238</v>
      </c>
      <c r="E161" s="133">
        <v>1000229</v>
      </c>
      <c r="F161" s="141" t="str">
        <f t="shared" si="2"/>
        <v>CameroonMLPRHHMN1040001</v>
      </c>
      <c r="G161" s="141" t="s">
        <v>118</v>
      </c>
      <c r="H161" s="133">
        <v>11919305</v>
      </c>
      <c r="I161" s="136" t="s">
        <v>119</v>
      </c>
      <c r="J161" s="137" t="s">
        <v>51</v>
      </c>
    </row>
    <row r="162" spans="1:10" x14ac:dyDescent="0.3">
      <c r="A162" s="193"/>
      <c r="B162" s="208" t="s">
        <v>239</v>
      </c>
      <c r="C162" s="133" t="s">
        <v>47</v>
      </c>
      <c r="D162" s="133" t="s">
        <v>238</v>
      </c>
      <c r="E162" s="133">
        <v>1000229</v>
      </c>
      <c r="F162" s="141" t="str">
        <f t="shared" si="2"/>
        <v>CameroonMLPRHHMN1440001</v>
      </c>
      <c r="G162" s="141" t="s">
        <v>62</v>
      </c>
      <c r="H162" s="133">
        <v>16466305</v>
      </c>
      <c r="I162" s="139" t="s">
        <v>63</v>
      </c>
      <c r="J162" s="137" t="s">
        <v>51</v>
      </c>
    </row>
    <row r="163" spans="1:10" x14ac:dyDescent="0.3">
      <c r="A163" s="193"/>
      <c r="B163" s="208" t="s">
        <v>239</v>
      </c>
      <c r="C163" s="133" t="s">
        <v>47</v>
      </c>
      <c r="D163" s="133" t="s">
        <v>238</v>
      </c>
      <c r="E163" s="133">
        <v>1000229</v>
      </c>
      <c r="F163" s="133" t="str">
        <f t="shared" si="2"/>
        <v>CameroonMLPRFCMN1540001</v>
      </c>
      <c r="G163" s="133" t="s">
        <v>64</v>
      </c>
      <c r="H163" s="135">
        <v>408341</v>
      </c>
      <c r="I163" s="136" t="s">
        <v>65</v>
      </c>
      <c r="J163" s="137" t="s">
        <v>66</v>
      </c>
    </row>
    <row r="164" spans="1:10" x14ac:dyDescent="0.3">
      <c r="A164" s="193"/>
      <c r="B164" s="208" t="s">
        <v>239</v>
      </c>
      <c r="C164" s="133" t="s">
        <v>47</v>
      </c>
      <c r="D164" s="133" t="s">
        <v>238</v>
      </c>
      <c r="E164" s="133">
        <v>1000229</v>
      </c>
      <c r="F164" s="141" t="str">
        <f t="shared" si="2"/>
        <v>CameroonMLPRHHMN0190002</v>
      </c>
      <c r="G164" s="141" t="s">
        <v>67</v>
      </c>
      <c r="H164" s="134">
        <v>16454343</v>
      </c>
      <c r="I164" s="140" t="s">
        <v>68</v>
      </c>
      <c r="J164" s="137" t="s">
        <v>51</v>
      </c>
    </row>
    <row r="165" spans="1:10" x14ac:dyDescent="0.3">
      <c r="A165" s="193"/>
      <c r="B165" s="208" t="s">
        <v>239</v>
      </c>
      <c r="C165" s="133" t="s">
        <v>47</v>
      </c>
      <c r="D165" s="133" t="s">
        <v>238</v>
      </c>
      <c r="E165" s="133">
        <v>1000229</v>
      </c>
      <c r="F165" s="133" t="str">
        <f t="shared" si="2"/>
        <v>CameroonMLPRHHMN0290002</v>
      </c>
      <c r="G165" s="133" t="s">
        <v>69</v>
      </c>
      <c r="H165" s="142">
        <v>16456343</v>
      </c>
      <c r="I165" s="151" t="s">
        <v>70</v>
      </c>
      <c r="J165" s="137" t="s">
        <v>51</v>
      </c>
    </row>
    <row r="166" spans="1:10" x14ac:dyDescent="0.3">
      <c r="A166" s="193"/>
      <c r="B166" s="208" t="s">
        <v>239</v>
      </c>
      <c r="C166" s="133" t="s">
        <v>47</v>
      </c>
      <c r="D166" s="133" t="s">
        <v>238</v>
      </c>
      <c r="E166" s="133">
        <v>1000229</v>
      </c>
      <c r="F166" s="133" t="str">
        <f t="shared" si="2"/>
        <v>CameroonMLPRHHMN0390003</v>
      </c>
      <c r="G166" s="133" t="s">
        <v>71</v>
      </c>
      <c r="H166" s="143">
        <v>16458343</v>
      </c>
      <c r="I166" s="152" t="s">
        <v>72</v>
      </c>
      <c r="J166" s="137" t="s">
        <v>51</v>
      </c>
    </row>
    <row r="167" spans="1:10" x14ac:dyDescent="0.3">
      <c r="A167" s="193"/>
      <c r="B167" s="208" t="s">
        <v>239</v>
      </c>
      <c r="C167" s="133" t="s">
        <v>47</v>
      </c>
      <c r="D167" s="133" t="s">
        <v>238</v>
      </c>
      <c r="E167" s="133">
        <v>1000229</v>
      </c>
      <c r="F167" s="153" t="str">
        <f t="shared" si="2"/>
        <v>CameroonMLPRHHMN0490002</v>
      </c>
      <c r="G167" s="133" t="s">
        <v>73</v>
      </c>
      <c r="H167" s="141">
        <v>16593343</v>
      </c>
      <c r="I167" s="139" t="s">
        <v>74</v>
      </c>
      <c r="J167" s="137" t="s">
        <v>51</v>
      </c>
    </row>
    <row r="168" spans="1:10" x14ac:dyDescent="0.3">
      <c r="A168" s="193"/>
      <c r="B168" s="208" t="s">
        <v>239</v>
      </c>
      <c r="C168" s="133" t="s">
        <v>47</v>
      </c>
      <c r="D168" s="133" t="s">
        <v>238</v>
      </c>
      <c r="E168" s="133">
        <v>1000229</v>
      </c>
      <c r="F168" s="142" t="str">
        <f t="shared" si="2"/>
        <v>CameroonMLPUHHPX0140001</v>
      </c>
      <c r="G168" s="134" t="s">
        <v>206</v>
      </c>
      <c r="H168" s="134">
        <v>16630335</v>
      </c>
      <c r="I168" s="140" t="s">
        <v>207</v>
      </c>
      <c r="J168" s="137" t="s">
        <v>51</v>
      </c>
    </row>
    <row r="169" spans="1:10" x14ac:dyDescent="0.3">
      <c r="A169" s="193"/>
      <c r="B169" s="208" t="s">
        <v>239</v>
      </c>
      <c r="C169" s="133" t="s">
        <v>47</v>
      </c>
      <c r="D169" s="133" t="s">
        <v>238</v>
      </c>
      <c r="E169" s="133">
        <v>1000229</v>
      </c>
      <c r="F169" s="143" t="str">
        <f t="shared" si="2"/>
        <v>CameroonMLPUHHPX0240001</v>
      </c>
      <c r="G169" s="138" t="s">
        <v>208</v>
      </c>
      <c r="H169" s="135">
        <v>16631335</v>
      </c>
      <c r="I169" s="136" t="s">
        <v>209</v>
      </c>
      <c r="J169" s="137" t="s">
        <v>51</v>
      </c>
    </row>
    <row r="170" spans="1:10" x14ac:dyDescent="0.3">
      <c r="A170" s="193"/>
      <c r="B170" s="208" t="s">
        <v>239</v>
      </c>
      <c r="C170" s="133" t="s">
        <v>47</v>
      </c>
      <c r="D170" s="133" t="s">
        <v>238</v>
      </c>
      <c r="E170" s="133">
        <v>1000229</v>
      </c>
      <c r="F170" s="141" t="str">
        <f t="shared" si="2"/>
        <v>CameroonMLPUHHPX0340001</v>
      </c>
      <c r="G170" s="134" t="s">
        <v>210</v>
      </c>
      <c r="H170" s="134">
        <v>16632335</v>
      </c>
      <c r="I170" s="140" t="s">
        <v>211</v>
      </c>
      <c r="J170" s="137" t="s">
        <v>51</v>
      </c>
    </row>
    <row r="171" spans="1:10" x14ac:dyDescent="0.3">
      <c r="A171" s="193"/>
      <c r="B171" s="208" t="s">
        <v>239</v>
      </c>
      <c r="C171" s="133" t="s">
        <v>47</v>
      </c>
      <c r="D171" s="133" t="s">
        <v>238</v>
      </c>
      <c r="E171" s="133">
        <v>1000229</v>
      </c>
      <c r="F171" s="141" t="str">
        <f t="shared" si="2"/>
        <v>CameroonMLPUHHPX0440001</v>
      </c>
      <c r="G171" s="134" t="s">
        <v>212</v>
      </c>
      <c r="H171" s="134">
        <v>16634335</v>
      </c>
      <c r="I171" s="140" t="s">
        <v>213</v>
      </c>
      <c r="J171" s="137" t="s">
        <v>51</v>
      </c>
    </row>
    <row r="172" spans="1:10" x14ac:dyDescent="0.3">
      <c r="A172" s="193"/>
      <c r="B172" s="208" t="s">
        <v>239</v>
      </c>
      <c r="C172" s="133" t="s">
        <v>47</v>
      </c>
      <c r="D172" s="133" t="s">
        <v>238</v>
      </c>
      <c r="E172" s="133">
        <v>1000229</v>
      </c>
      <c r="F172" s="141" t="str">
        <f t="shared" si="2"/>
        <v>CameroonMLPUHHPX0540001</v>
      </c>
      <c r="G172" s="182" t="s">
        <v>214</v>
      </c>
      <c r="H172" s="182">
        <v>16638335</v>
      </c>
      <c r="I172" s="152" t="s">
        <v>215</v>
      </c>
      <c r="J172" s="137" t="s">
        <v>51</v>
      </c>
    </row>
    <row r="173" spans="1:10" x14ac:dyDescent="0.3">
      <c r="A173" s="193"/>
      <c r="B173" s="208" t="s">
        <v>239</v>
      </c>
      <c r="C173" s="133" t="s">
        <v>47</v>
      </c>
      <c r="D173" s="133" t="s">
        <v>238</v>
      </c>
      <c r="E173" s="133">
        <v>1000229</v>
      </c>
      <c r="F173" s="133" t="str">
        <f t="shared" si="2"/>
        <v>CameroonMLPSHHMN1240002</v>
      </c>
      <c r="G173" s="141" t="s">
        <v>121</v>
      </c>
      <c r="H173" s="141">
        <v>16679335</v>
      </c>
      <c r="I173" s="136" t="s">
        <v>122</v>
      </c>
      <c r="J173" s="137" t="s">
        <v>51</v>
      </c>
    </row>
    <row r="174" spans="1:10" x14ac:dyDescent="0.3">
      <c r="A174" s="193"/>
      <c r="B174" s="208"/>
      <c r="C174" s="133" t="s">
        <v>101</v>
      </c>
      <c r="D174" s="133" t="s">
        <v>238</v>
      </c>
      <c r="E174" s="133">
        <v>1000230</v>
      </c>
      <c r="F174" s="133" t="str">
        <f t="shared" si="2"/>
        <v>CameroonMLNUHHAF0140001</v>
      </c>
      <c r="G174" s="133" t="s">
        <v>164</v>
      </c>
      <c r="H174" s="142">
        <v>16869305</v>
      </c>
      <c r="I174" s="151" t="s">
        <v>103</v>
      </c>
      <c r="J174" s="137" t="s">
        <v>51</v>
      </c>
    </row>
    <row r="175" spans="1:10" x14ac:dyDescent="0.3">
      <c r="A175" s="193"/>
      <c r="B175" s="208"/>
      <c r="C175" s="133" t="s">
        <v>101</v>
      </c>
      <c r="D175" s="133" t="s">
        <v>238</v>
      </c>
      <c r="E175" s="133">
        <v>1000231</v>
      </c>
      <c r="F175" s="133" t="str">
        <f t="shared" si="2"/>
        <v>CameroonMLNUHHAF0240001</v>
      </c>
      <c r="G175" s="133" t="s">
        <v>165</v>
      </c>
      <c r="H175" s="143">
        <v>16870305</v>
      </c>
      <c r="I175" s="152" t="s">
        <v>106</v>
      </c>
      <c r="J175" s="137" t="s">
        <v>51</v>
      </c>
    </row>
    <row r="176" spans="1:10" x14ac:dyDescent="0.3">
      <c r="A176" s="193"/>
      <c r="B176" s="208"/>
      <c r="C176" s="133" t="s">
        <v>101</v>
      </c>
      <c r="D176" s="133" t="s">
        <v>238</v>
      </c>
      <c r="E176" s="133">
        <v>1000232</v>
      </c>
      <c r="F176" s="133" t="str">
        <f t="shared" si="2"/>
        <v>CameroonMLNUHHAF0340001</v>
      </c>
      <c r="G176" s="133" t="s">
        <v>166</v>
      </c>
      <c r="H176" s="141">
        <v>16871305</v>
      </c>
      <c r="I176" s="139" t="s">
        <v>108</v>
      </c>
      <c r="J176" s="137" t="s">
        <v>51</v>
      </c>
    </row>
    <row r="177" spans="1:10" x14ac:dyDescent="0.3">
      <c r="A177" s="193"/>
      <c r="B177" s="208" t="s">
        <v>239</v>
      </c>
      <c r="C177" s="133" t="s">
        <v>47</v>
      </c>
      <c r="D177" s="133" t="s">
        <v>238</v>
      </c>
      <c r="E177" s="133">
        <v>1000229</v>
      </c>
      <c r="F177" s="133" t="str">
        <f t="shared" si="2"/>
        <v>CameroonCRPRBLMN0620001</v>
      </c>
      <c r="G177" s="134" t="s">
        <v>88</v>
      </c>
      <c r="H177" s="134" t="s">
        <v>89</v>
      </c>
      <c r="I177" s="140" t="s">
        <v>90</v>
      </c>
      <c r="J177" s="137" t="s">
        <v>91</v>
      </c>
    </row>
    <row r="178" spans="1:10" x14ac:dyDescent="0.3">
      <c r="A178" s="193"/>
      <c r="B178" s="208" t="s">
        <v>239</v>
      </c>
      <c r="C178" s="133" t="s">
        <v>47</v>
      </c>
      <c r="D178" s="133" t="s">
        <v>238</v>
      </c>
      <c r="E178" s="133">
        <v>1000229</v>
      </c>
      <c r="F178" s="133" t="str">
        <f t="shared" si="2"/>
        <v>CameroonCRPRBLMN0120001</v>
      </c>
      <c r="G178" s="134" t="s">
        <v>92</v>
      </c>
      <c r="H178" s="162" t="s">
        <v>93</v>
      </c>
      <c r="I178" s="163" t="s">
        <v>94</v>
      </c>
      <c r="J178" s="137" t="s">
        <v>91</v>
      </c>
    </row>
    <row r="179" spans="1:10" x14ac:dyDescent="0.3">
      <c r="A179" s="193"/>
      <c r="B179" s="208" t="s">
        <v>239</v>
      </c>
      <c r="C179" s="133" t="s">
        <v>47</v>
      </c>
      <c r="D179" s="133" t="s">
        <v>238</v>
      </c>
      <c r="E179" s="133">
        <v>1000229</v>
      </c>
      <c r="F179" s="141" t="str">
        <f t="shared" si="2"/>
        <v>CameroonCRPRBLMN0320001</v>
      </c>
      <c r="G179" s="134" t="s">
        <v>95</v>
      </c>
      <c r="H179" s="162" t="s">
        <v>96</v>
      </c>
      <c r="I179" s="163" t="s">
        <v>97</v>
      </c>
      <c r="J179" s="137" t="s">
        <v>91</v>
      </c>
    </row>
    <row r="180" spans="1:10" ht="15" thickBot="1" x14ac:dyDescent="0.35">
      <c r="A180" s="194"/>
      <c r="B180" s="209" t="s">
        <v>239</v>
      </c>
      <c r="C180" s="145" t="s">
        <v>47</v>
      </c>
      <c r="D180" s="145" t="s">
        <v>238</v>
      </c>
      <c r="E180" s="145">
        <v>1000229</v>
      </c>
      <c r="F180" s="145" t="str">
        <f t="shared" si="2"/>
        <v>CameroonCRPRBLMN0220001</v>
      </c>
      <c r="G180" s="166" t="s">
        <v>98</v>
      </c>
      <c r="H180" s="167" t="s">
        <v>99</v>
      </c>
      <c r="I180" s="168" t="s">
        <v>100</v>
      </c>
      <c r="J180" s="148" t="s">
        <v>91</v>
      </c>
    </row>
    <row r="181" spans="1:10" x14ac:dyDescent="0.3">
      <c r="A181" s="127" t="s">
        <v>240</v>
      </c>
      <c r="B181" s="200"/>
      <c r="C181" s="128" t="s">
        <v>47</v>
      </c>
      <c r="D181" s="128" t="s">
        <v>240</v>
      </c>
      <c r="E181" s="128"/>
      <c r="F181" s="149" t="str">
        <f t="shared" si="2"/>
        <v>DRCMLPRHHPX0140002</v>
      </c>
      <c r="G181" s="150" t="s">
        <v>151</v>
      </c>
      <c r="H181" s="150">
        <v>16453305</v>
      </c>
      <c r="I181" s="130" t="s">
        <v>152</v>
      </c>
      <c r="J181" s="131" t="s">
        <v>51</v>
      </c>
    </row>
    <row r="182" spans="1:10" x14ac:dyDescent="0.3">
      <c r="A182" s="132"/>
      <c r="B182" s="201"/>
      <c r="C182" s="133" t="s">
        <v>47</v>
      </c>
      <c r="D182" s="133" t="s">
        <v>240</v>
      </c>
      <c r="E182" s="133"/>
      <c r="F182" s="133" t="str">
        <f t="shared" si="2"/>
        <v>DRCMLPRHHPX0240002</v>
      </c>
      <c r="G182" s="133" t="s">
        <v>153</v>
      </c>
      <c r="H182" s="135">
        <v>16455305</v>
      </c>
      <c r="I182" s="136" t="s">
        <v>154</v>
      </c>
      <c r="J182" s="137" t="s">
        <v>51</v>
      </c>
    </row>
    <row r="183" spans="1:10" x14ac:dyDescent="0.3">
      <c r="A183" s="132"/>
      <c r="B183" s="201"/>
      <c r="C183" s="133" t="s">
        <v>47</v>
      </c>
      <c r="D183" s="133" t="s">
        <v>240</v>
      </c>
      <c r="E183" s="133"/>
      <c r="F183" s="153" t="str">
        <f t="shared" si="2"/>
        <v>DRCMLPRHHPX0340002</v>
      </c>
      <c r="G183" s="133" t="s">
        <v>155</v>
      </c>
      <c r="H183" s="141">
        <v>16457305</v>
      </c>
      <c r="I183" s="139" t="s">
        <v>156</v>
      </c>
      <c r="J183" s="137" t="s">
        <v>51</v>
      </c>
    </row>
    <row r="184" spans="1:10" x14ac:dyDescent="0.3">
      <c r="A184" s="132"/>
      <c r="B184" s="201"/>
      <c r="C184" s="133" t="s">
        <v>47</v>
      </c>
      <c r="D184" s="133" t="s">
        <v>240</v>
      </c>
      <c r="E184" s="133"/>
      <c r="F184" s="141" t="str">
        <f t="shared" si="2"/>
        <v>DRCMLPRHHPX0440002</v>
      </c>
      <c r="G184" s="133" t="s">
        <v>157</v>
      </c>
      <c r="H184" s="135">
        <v>16592305</v>
      </c>
      <c r="I184" s="136" t="s">
        <v>158</v>
      </c>
      <c r="J184" s="137" t="s">
        <v>51</v>
      </c>
    </row>
    <row r="185" spans="1:10" x14ac:dyDescent="0.3">
      <c r="A185" s="132"/>
      <c r="B185" s="201"/>
      <c r="C185" s="133" t="s">
        <v>47</v>
      </c>
      <c r="D185" s="133" t="s">
        <v>240</v>
      </c>
      <c r="E185" s="133"/>
      <c r="F185" s="133" t="str">
        <f t="shared" si="2"/>
        <v>DRCMLPRHHPX0540001</v>
      </c>
      <c r="G185" s="133" t="s">
        <v>159</v>
      </c>
      <c r="H185" s="141">
        <v>16614305</v>
      </c>
      <c r="I185" s="139" t="s">
        <v>160</v>
      </c>
      <c r="J185" s="137" t="s">
        <v>51</v>
      </c>
    </row>
    <row r="186" spans="1:10" ht="15" thickBot="1" x14ac:dyDescent="0.35">
      <c r="A186" s="144"/>
      <c r="B186" s="202"/>
      <c r="C186" s="145" t="s">
        <v>47</v>
      </c>
      <c r="D186" s="145" t="s">
        <v>240</v>
      </c>
      <c r="E186" s="145"/>
      <c r="F186" s="183" t="str">
        <f t="shared" si="2"/>
        <v>DRCMLPRHHPX1140002</v>
      </c>
      <c r="G186" s="145" t="s">
        <v>161</v>
      </c>
      <c r="H186" s="146">
        <v>16460305</v>
      </c>
      <c r="I186" s="147" t="s">
        <v>162</v>
      </c>
      <c r="J186" s="148" t="s">
        <v>51</v>
      </c>
    </row>
    <row r="187" spans="1:10" x14ac:dyDescent="0.3">
      <c r="A187" s="127" t="s">
        <v>241</v>
      </c>
      <c r="B187" s="200" t="s">
        <v>242</v>
      </c>
      <c r="C187" s="128" t="s">
        <v>47</v>
      </c>
      <c r="D187" s="128" t="s">
        <v>243</v>
      </c>
      <c r="E187" s="128">
        <v>1001040</v>
      </c>
      <c r="F187" s="149" t="str">
        <f t="shared" si="2"/>
        <v>CongoMLPRHHPX0140002</v>
      </c>
      <c r="G187" s="159" t="s">
        <v>151</v>
      </c>
      <c r="H187" s="128">
        <v>16453305</v>
      </c>
      <c r="I187" s="154" t="s">
        <v>152</v>
      </c>
      <c r="J187" s="131" t="s">
        <v>51</v>
      </c>
    </row>
    <row r="188" spans="1:10" x14ac:dyDescent="0.3">
      <c r="A188" s="132"/>
      <c r="B188" s="201"/>
      <c r="C188" s="133" t="s">
        <v>47</v>
      </c>
      <c r="D188" s="133" t="s">
        <v>243</v>
      </c>
      <c r="E188" s="133">
        <v>1001040</v>
      </c>
      <c r="F188" s="133" t="str">
        <f t="shared" si="2"/>
        <v>CongoMLPRHHPX0240002</v>
      </c>
      <c r="G188" s="138" t="s">
        <v>153</v>
      </c>
      <c r="H188" s="133">
        <v>16455305</v>
      </c>
      <c r="I188" s="136" t="s">
        <v>154</v>
      </c>
      <c r="J188" s="137" t="s">
        <v>51</v>
      </c>
    </row>
    <row r="189" spans="1:10" x14ac:dyDescent="0.3">
      <c r="A189" s="132"/>
      <c r="B189" s="201"/>
      <c r="C189" s="133" t="s">
        <v>47</v>
      </c>
      <c r="D189" s="133" t="s">
        <v>243</v>
      </c>
      <c r="E189" s="133">
        <v>1001040</v>
      </c>
      <c r="F189" s="153" t="str">
        <f t="shared" si="2"/>
        <v>CongoMLPRHHPX0340002</v>
      </c>
      <c r="G189" s="138" t="s">
        <v>155</v>
      </c>
      <c r="H189" s="133">
        <v>16457305</v>
      </c>
      <c r="I189" s="139" t="s">
        <v>156</v>
      </c>
      <c r="J189" s="137" t="s">
        <v>51</v>
      </c>
    </row>
    <row r="190" spans="1:10" x14ac:dyDescent="0.3">
      <c r="A190" s="132"/>
      <c r="B190" s="201"/>
      <c r="C190" s="133" t="s">
        <v>47</v>
      </c>
      <c r="D190" s="133" t="s">
        <v>243</v>
      </c>
      <c r="E190" s="133">
        <v>1001040</v>
      </c>
      <c r="F190" s="143" t="str">
        <f t="shared" si="2"/>
        <v>CongoMLPRHHPX0440002</v>
      </c>
      <c r="G190" s="138" t="s">
        <v>157</v>
      </c>
      <c r="H190" s="133">
        <v>16592305</v>
      </c>
      <c r="I190" s="136" t="s">
        <v>158</v>
      </c>
      <c r="J190" s="137" t="s">
        <v>51</v>
      </c>
    </row>
    <row r="191" spans="1:10" x14ac:dyDescent="0.3">
      <c r="A191" s="132"/>
      <c r="B191" s="201"/>
      <c r="C191" s="133" t="s">
        <v>47</v>
      </c>
      <c r="D191" s="133" t="s">
        <v>243</v>
      </c>
      <c r="E191" s="133">
        <v>1001040</v>
      </c>
      <c r="F191" s="141" t="str">
        <f t="shared" si="2"/>
        <v>CongoMLPRHHPX0540001</v>
      </c>
      <c r="G191" s="138" t="s">
        <v>159</v>
      </c>
      <c r="H191" s="133">
        <v>16614305</v>
      </c>
      <c r="I191" s="139" t="s">
        <v>160</v>
      </c>
      <c r="J191" s="137" t="s">
        <v>51</v>
      </c>
    </row>
    <row r="192" spans="1:10" x14ac:dyDescent="0.3">
      <c r="A192" s="132"/>
      <c r="B192" s="201"/>
      <c r="C192" s="133" t="s">
        <v>47</v>
      </c>
      <c r="D192" s="133" t="s">
        <v>243</v>
      </c>
      <c r="E192" s="133">
        <v>1001040</v>
      </c>
      <c r="F192" s="141" t="str">
        <f t="shared" si="2"/>
        <v>CongoMLPRHHPX1140002</v>
      </c>
      <c r="G192" s="138" t="s">
        <v>161</v>
      </c>
      <c r="H192" s="133">
        <v>16460305</v>
      </c>
      <c r="I192" s="136" t="s">
        <v>162</v>
      </c>
      <c r="J192" s="137" t="s">
        <v>51</v>
      </c>
    </row>
    <row r="193" spans="1:10" x14ac:dyDescent="0.3">
      <c r="A193" s="132"/>
      <c r="B193" s="201"/>
      <c r="C193" s="133" t="s">
        <v>47</v>
      </c>
      <c r="D193" s="133" t="s">
        <v>243</v>
      </c>
      <c r="E193" s="133">
        <v>1001040</v>
      </c>
      <c r="F193" s="141" t="str">
        <f t="shared" si="2"/>
        <v>CongoMLPRHHMN1440001</v>
      </c>
      <c r="G193" s="141" t="s">
        <v>62</v>
      </c>
      <c r="H193" s="133">
        <v>16466305</v>
      </c>
      <c r="I193" s="139" t="s">
        <v>63</v>
      </c>
      <c r="J193" s="137" t="s">
        <v>51</v>
      </c>
    </row>
    <row r="194" spans="1:10" x14ac:dyDescent="0.3">
      <c r="A194" s="132"/>
      <c r="B194" s="201"/>
      <c r="C194" s="133" t="s">
        <v>47</v>
      </c>
      <c r="D194" s="133" t="s">
        <v>243</v>
      </c>
      <c r="E194" s="133">
        <v>1001040</v>
      </c>
      <c r="F194" s="133" t="str">
        <f t="shared" si="2"/>
        <v>CongoMLPRHHMN0190002</v>
      </c>
      <c r="G194" s="133" t="s">
        <v>67</v>
      </c>
      <c r="H194" s="135">
        <v>16454343</v>
      </c>
      <c r="I194" s="136" t="s">
        <v>68</v>
      </c>
      <c r="J194" s="137" t="s">
        <v>51</v>
      </c>
    </row>
    <row r="195" spans="1:10" x14ac:dyDescent="0.3">
      <c r="A195" s="132"/>
      <c r="B195" s="201"/>
      <c r="C195" s="133" t="s">
        <v>47</v>
      </c>
      <c r="D195" s="133" t="s">
        <v>243</v>
      </c>
      <c r="E195" s="133">
        <v>1001040</v>
      </c>
      <c r="F195" s="133" t="str">
        <f t="shared" si="2"/>
        <v>CongoMLPRHHMN0290002</v>
      </c>
      <c r="G195" s="133" t="s">
        <v>69</v>
      </c>
      <c r="H195" s="138">
        <v>16456343</v>
      </c>
      <c r="I195" s="139" t="s">
        <v>70</v>
      </c>
      <c r="J195" s="137" t="s">
        <v>51</v>
      </c>
    </row>
    <row r="196" spans="1:10" x14ac:dyDescent="0.3">
      <c r="A196" s="132"/>
      <c r="B196" s="201"/>
      <c r="C196" s="133" t="s">
        <v>47</v>
      </c>
      <c r="D196" s="133" t="s">
        <v>243</v>
      </c>
      <c r="E196" s="133">
        <v>1001040</v>
      </c>
      <c r="F196" s="141" t="str">
        <f t="shared" si="2"/>
        <v>CongoMLPRHHMN0390003</v>
      </c>
      <c r="G196" s="134" t="s">
        <v>71</v>
      </c>
      <c r="H196" s="134">
        <v>16458343</v>
      </c>
      <c r="I196" s="140" t="s">
        <v>72</v>
      </c>
      <c r="J196" s="137" t="s">
        <v>51</v>
      </c>
    </row>
    <row r="197" spans="1:10" ht="15" thickBot="1" x14ac:dyDescent="0.35">
      <c r="A197" s="144"/>
      <c r="B197" s="202"/>
      <c r="C197" s="145" t="s">
        <v>47</v>
      </c>
      <c r="D197" s="145" t="s">
        <v>243</v>
      </c>
      <c r="E197" s="145">
        <v>1001040</v>
      </c>
      <c r="F197" s="145" t="str">
        <f t="shared" si="2"/>
        <v>CongoMLPRHHMN0490002</v>
      </c>
      <c r="G197" s="145" t="s">
        <v>73</v>
      </c>
      <c r="H197" s="184">
        <v>16593343</v>
      </c>
      <c r="I197" s="185" t="s">
        <v>74</v>
      </c>
      <c r="J197" s="148" t="s">
        <v>51</v>
      </c>
    </row>
    <row r="198" spans="1:10" x14ac:dyDescent="0.3">
      <c r="A198" s="127" t="s">
        <v>244</v>
      </c>
      <c r="B198" s="200" t="s">
        <v>245</v>
      </c>
      <c r="C198" s="128" t="s">
        <v>47</v>
      </c>
      <c r="D198" s="128" t="s">
        <v>244</v>
      </c>
      <c r="E198" s="128">
        <v>1001025</v>
      </c>
      <c r="F198" s="149" t="str">
        <f t="shared" si="2"/>
        <v>RwandaMLPRHHPX0140002</v>
      </c>
      <c r="G198" s="150" t="s">
        <v>151</v>
      </c>
      <c r="H198" s="150">
        <v>16453305</v>
      </c>
      <c r="I198" s="130" t="s">
        <v>152</v>
      </c>
      <c r="J198" s="131" t="s">
        <v>51</v>
      </c>
    </row>
    <row r="199" spans="1:10" x14ac:dyDescent="0.3">
      <c r="A199" s="132"/>
      <c r="B199" s="201"/>
      <c r="C199" s="133" t="s">
        <v>47</v>
      </c>
      <c r="D199" s="133" t="s">
        <v>244</v>
      </c>
      <c r="E199" s="133">
        <v>1001025</v>
      </c>
      <c r="F199" s="133" t="str">
        <f t="shared" si="2"/>
        <v>RwandaMLPRHHPX0240002</v>
      </c>
      <c r="G199" s="133" t="s">
        <v>153</v>
      </c>
      <c r="H199" s="135">
        <v>16455305</v>
      </c>
      <c r="I199" s="136" t="s">
        <v>154</v>
      </c>
      <c r="J199" s="137" t="s">
        <v>51</v>
      </c>
    </row>
    <row r="200" spans="1:10" x14ac:dyDescent="0.3">
      <c r="A200" s="132"/>
      <c r="B200" s="201"/>
      <c r="C200" s="133" t="s">
        <v>47</v>
      </c>
      <c r="D200" s="133" t="s">
        <v>244</v>
      </c>
      <c r="E200" s="133">
        <v>1001025</v>
      </c>
      <c r="F200" s="133" t="str">
        <f t="shared" si="2"/>
        <v>RwandaMLPRHHPX0340002</v>
      </c>
      <c r="G200" s="133" t="s">
        <v>155</v>
      </c>
      <c r="H200" s="141">
        <v>16457305</v>
      </c>
      <c r="I200" s="139" t="s">
        <v>156</v>
      </c>
      <c r="J200" s="137" t="s">
        <v>51</v>
      </c>
    </row>
    <row r="201" spans="1:10" x14ac:dyDescent="0.3">
      <c r="A201" s="132"/>
      <c r="B201" s="201"/>
      <c r="C201" s="133" t="s">
        <v>47</v>
      </c>
      <c r="D201" s="133" t="s">
        <v>244</v>
      </c>
      <c r="E201" s="133">
        <v>1001025</v>
      </c>
      <c r="F201" s="133" t="str">
        <f t="shared" si="2"/>
        <v>RwandaMLPRHHPX0440002</v>
      </c>
      <c r="G201" s="133" t="s">
        <v>157</v>
      </c>
      <c r="H201" s="135">
        <v>16592305</v>
      </c>
      <c r="I201" s="136" t="s">
        <v>158</v>
      </c>
      <c r="J201" s="137" t="s">
        <v>51</v>
      </c>
    </row>
    <row r="202" spans="1:10" x14ac:dyDescent="0.3">
      <c r="A202" s="132"/>
      <c r="B202" s="201"/>
      <c r="C202" s="133" t="s">
        <v>47</v>
      </c>
      <c r="D202" s="133" t="s">
        <v>244</v>
      </c>
      <c r="E202" s="133">
        <v>1001025</v>
      </c>
      <c r="F202" s="143" t="str">
        <f t="shared" si="2"/>
        <v>RwandaMLPRHHPX0540001</v>
      </c>
      <c r="G202" s="133" t="s">
        <v>159</v>
      </c>
      <c r="H202" s="141">
        <v>16614305</v>
      </c>
      <c r="I202" s="139" t="s">
        <v>160</v>
      </c>
      <c r="J202" s="137" t="s">
        <v>51</v>
      </c>
    </row>
    <row r="203" spans="1:10" ht="15" thickBot="1" x14ac:dyDescent="0.35">
      <c r="A203" s="144"/>
      <c r="B203" s="202"/>
      <c r="C203" s="145" t="s">
        <v>47</v>
      </c>
      <c r="D203" s="145" t="s">
        <v>244</v>
      </c>
      <c r="E203" s="145">
        <v>1001025</v>
      </c>
      <c r="F203" s="157" t="str">
        <f t="shared" si="2"/>
        <v>RwandaMLPRHHPX1140002</v>
      </c>
      <c r="G203" s="145" t="s">
        <v>161</v>
      </c>
      <c r="H203" s="146">
        <v>16460305</v>
      </c>
      <c r="I203" s="147" t="s">
        <v>162</v>
      </c>
      <c r="J203" s="148" t="s">
        <v>51</v>
      </c>
    </row>
    <row r="204" spans="1:10" x14ac:dyDescent="0.3">
      <c r="A204" s="127" t="s">
        <v>246</v>
      </c>
      <c r="B204" s="200" t="s">
        <v>247</v>
      </c>
      <c r="C204" s="128" t="s">
        <v>47</v>
      </c>
      <c r="D204" s="128" t="s">
        <v>246</v>
      </c>
      <c r="E204" s="128">
        <v>1001063</v>
      </c>
      <c r="F204" s="149" t="str">
        <f>+_xlfn.CONCAT(D204,G204)</f>
        <v>GeorgiaMLPUHHPX0140001</v>
      </c>
      <c r="G204" s="150" t="s">
        <v>206</v>
      </c>
      <c r="H204" s="150">
        <v>16630335</v>
      </c>
      <c r="I204" s="130" t="s">
        <v>207</v>
      </c>
      <c r="J204" s="131" t="s">
        <v>51</v>
      </c>
    </row>
    <row r="205" spans="1:10" x14ac:dyDescent="0.3">
      <c r="A205" s="132"/>
      <c r="B205" s="201"/>
      <c r="C205" s="133" t="s">
        <v>47</v>
      </c>
      <c r="D205" s="133" t="s">
        <v>246</v>
      </c>
      <c r="E205" s="133">
        <v>1001063</v>
      </c>
      <c r="F205" s="133" t="str">
        <f>+_xlfn.CONCAT(D205,G205)</f>
        <v>GeorgiaMLPUHHPX0240001</v>
      </c>
      <c r="G205" s="133" t="s">
        <v>208</v>
      </c>
      <c r="H205" s="135">
        <v>16631335</v>
      </c>
      <c r="I205" s="136" t="s">
        <v>209</v>
      </c>
      <c r="J205" s="137" t="s">
        <v>51</v>
      </c>
    </row>
    <row r="206" spans="1:10" x14ac:dyDescent="0.3">
      <c r="A206" s="132"/>
      <c r="B206" s="201"/>
      <c r="C206" s="133" t="s">
        <v>47</v>
      </c>
      <c r="D206" s="133" t="s">
        <v>246</v>
      </c>
      <c r="E206" s="133">
        <v>1001063</v>
      </c>
      <c r="F206" s="133" t="str">
        <f>+_xlfn.CONCAT(D206,G206)</f>
        <v>GeorgiaMLPUHHPX0340001</v>
      </c>
      <c r="G206" s="133" t="s">
        <v>210</v>
      </c>
      <c r="H206" s="141">
        <v>16632335</v>
      </c>
      <c r="I206" s="139" t="s">
        <v>211</v>
      </c>
      <c r="J206" s="137" t="s">
        <v>51</v>
      </c>
    </row>
    <row r="207" spans="1:10" x14ac:dyDescent="0.3">
      <c r="A207" s="132"/>
      <c r="B207" s="201"/>
      <c r="C207" s="133" t="s">
        <v>47</v>
      </c>
      <c r="D207" s="133" t="s">
        <v>246</v>
      </c>
      <c r="E207" s="133">
        <v>1001063</v>
      </c>
      <c r="F207" s="133" t="str">
        <f>+_xlfn.CONCAT(D207,G207)</f>
        <v>GeorgiaMLPUHHPX0440001</v>
      </c>
      <c r="G207" s="133" t="s">
        <v>212</v>
      </c>
      <c r="H207" s="135">
        <v>16634335</v>
      </c>
      <c r="I207" s="136" t="s">
        <v>213</v>
      </c>
      <c r="J207" s="137" t="s">
        <v>51</v>
      </c>
    </row>
    <row r="208" spans="1:10" ht="15" thickBot="1" x14ac:dyDescent="0.35">
      <c r="A208" s="144"/>
      <c r="B208" s="202"/>
      <c r="C208" s="133" t="s">
        <v>47</v>
      </c>
      <c r="D208" s="133" t="s">
        <v>246</v>
      </c>
      <c r="E208" s="133">
        <v>1001063</v>
      </c>
      <c r="F208" s="133" t="str">
        <f>+_xlfn.CONCAT(D208,G208)</f>
        <v>GeorgiaMLPUHHPX0540001</v>
      </c>
      <c r="G208" s="182" t="s">
        <v>214</v>
      </c>
      <c r="H208" s="182">
        <v>16638335</v>
      </c>
      <c r="I208" s="152" t="s">
        <v>215</v>
      </c>
      <c r="J208" s="137" t="s">
        <v>51</v>
      </c>
    </row>
    <row r="209" spans="1:10" x14ac:dyDescent="0.3">
      <c r="A209" s="158" t="s">
        <v>248</v>
      </c>
      <c r="B209" s="203" t="s">
        <v>249</v>
      </c>
      <c r="C209" s="128" t="s">
        <v>47</v>
      </c>
      <c r="D209" s="128" t="s">
        <v>248</v>
      </c>
      <c r="E209" s="128">
        <v>1000325</v>
      </c>
      <c r="F209" s="159" t="str">
        <f t="shared" si="2"/>
        <v>South SoudanMLPUHHMN0140001</v>
      </c>
      <c r="G209" s="159" t="s">
        <v>75</v>
      </c>
      <c r="H209" s="128">
        <v>16249335</v>
      </c>
      <c r="I209" s="154" t="s">
        <v>76</v>
      </c>
      <c r="J209" s="131" t="s">
        <v>51</v>
      </c>
    </row>
    <row r="210" spans="1:10" x14ac:dyDescent="0.3">
      <c r="A210" s="132"/>
      <c r="B210" s="201"/>
      <c r="C210" s="133" t="s">
        <v>47</v>
      </c>
      <c r="D210" s="133" t="s">
        <v>248</v>
      </c>
      <c r="E210" s="133">
        <v>1000325</v>
      </c>
      <c r="F210" s="138" t="str">
        <f t="shared" si="2"/>
        <v>South SoudanMLPUHHMN0240001</v>
      </c>
      <c r="G210" s="138" t="s">
        <v>77</v>
      </c>
      <c r="H210" s="133">
        <v>16250335</v>
      </c>
      <c r="I210" s="139" t="s">
        <v>78</v>
      </c>
      <c r="J210" s="137" t="s">
        <v>51</v>
      </c>
    </row>
    <row r="211" spans="1:10" x14ac:dyDescent="0.3">
      <c r="A211" s="132"/>
      <c r="B211" s="201"/>
      <c r="C211" s="133" t="s">
        <v>47</v>
      </c>
      <c r="D211" s="133" t="s">
        <v>248</v>
      </c>
      <c r="E211" s="133">
        <v>1000325</v>
      </c>
      <c r="F211" s="138" t="str">
        <f t="shared" si="2"/>
        <v>South SoudanMLPUHHMN0340001</v>
      </c>
      <c r="G211" s="138" t="s">
        <v>79</v>
      </c>
      <c r="H211" s="133">
        <v>16251335</v>
      </c>
      <c r="I211" s="139" t="s">
        <v>80</v>
      </c>
      <c r="J211" s="137" t="s">
        <v>51</v>
      </c>
    </row>
    <row r="212" spans="1:10" x14ac:dyDescent="0.3">
      <c r="A212" s="132"/>
      <c r="B212" s="201"/>
      <c r="C212" s="133" t="s">
        <v>47</v>
      </c>
      <c r="D212" s="133" t="s">
        <v>248</v>
      </c>
      <c r="E212" s="133">
        <v>1000325</v>
      </c>
      <c r="F212" s="138" t="str">
        <f t="shared" si="2"/>
        <v>South SoudanMLPUHHMN0440001</v>
      </c>
      <c r="G212" s="138" t="s">
        <v>81</v>
      </c>
      <c r="H212" s="133">
        <v>16252335</v>
      </c>
      <c r="I212" s="139" t="s">
        <v>82</v>
      </c>
      <c r="J212" s="137" t="s">
        <v>51</v>
      </c>
    </row>
    <row r="213" spans="1:10" x14ac:dyDescent="0.3">
      <c r="A213" s="132"/>
      <c r="B213" s="201"/>
      <c r="C213" s="133" t="s">
        <v>47</v>
      </c>
      <c r="D213" s="133" t="s">
        <v>248</v>
      </c>
      <c r="E213" s="133">
        <v>1000325</v>
      </c>
      <c r="F213" s="138" t="str">
        <f t="shared" si="2"/>
        <v>South SoudanMLPUHHMN0640001</v>
      </c>
      <c r="G213" s="138" t="s">
        <v>250</v>
      </c>
      <c r="H213" s="133">
        <v>16238335</v>
      </c>
      <c r="I213" s="139" t="s">
        <v>251</v>
      </c>
      <c r="J213" s="137" t="s">
        <v>51</v>
      </c>
    </row>
    <row r="214" spans="1:10" x14ac:dyDescent="0.3">
      <c r="A214" s="132"/>
      <c r="B214" s="201"/>
      <c r="C214" s="133" t="s">
        <v>47</v>
      </c>
      <c r="D214" s="133" t="s">
        <v>248</v>
      </c>
      <c r="E214" s="133">
        <v>1000325</v>
      </c>
      <c r="F214" s="138" t="str">
        <f t="shared" si="2"/>
        <v>South SoudanMLPUHHMN0740001</v>
      </c>
      <c r="G214" s="138" t="s">
        <v>252</v>
      </c>
      <c r="H214" s="133">
        <v>16243335</v>
      </c>
      <c r="I214" s="139" t="s">
        <v>253</v>
      </c>
      <c r="J214" s="137" t="s">
        <v>51</v>
      </c>
    </row>
    <row r="215" spans="1:10" x14ac:dyDescent="0.3">
      <c r="A215" s="132"/>
      <c r="B215" s="201"/>
      <c r="C215" s="133" t="s">
        <v>47</v>
      </c>
      <c r="D215" s="133" t="s">
        <v>248</v>
      </c>
      <c r="E215" s="133">
        <v>1000325</v>
      </c>
      <c r="F215" s="138" t="str">
        <f t="shared" si="2"/>
        <v>South SoudanMLPUHHMN1140001</v>
      </c>
      <c r="G215" s="138" t="s">
        <v>254</v>
      </c>
      <c r="H215" s="133">
        <v>16313335</v>
      </c>
      <c r="I215" s="139" t="s">
        <v>255</v>
      </c>
      <c r="J215" s="137" t="s">
        <v>51</v>
      </c>
    </row>
    <row r="216" spans="1:10" ht="15" thickBot="1" x14ac:dyDescent="0.35">
      <c r="A216" s="144"/>
      <c r="B216" s="202"/>
      <c r="C216" s="133" t="s">
        <v>47</v>
      </c>
      <c r="D216" s="133" t="s">
        <v>248</v>
      </c>
      <c r="E216" s="133">
        <v>1000325</v>
      </c>
      <c r="F216" s="138" t="str">
        <f t="shared" si="2"/>
        <v>South SoudanMLPUHHMN1440001</v>
      </c>
      <c r="G216" s="138" t="s">
        <v>256</v>
      </c>
      <c r="H216" s="133">
        <v>16335335</v>
      </c>
      <c r="I216" s="139" t="s">
        <v>257</v>
      </c>
      <c r="J216" s="137" t="s">
        <v>51</v>
      </c>
    </row>
    <row r="217" spans="1:10" x14ac:dyDescent="0.3">
      <c r="A217" s="127" t="s">
        <v>258</v>
      </c>
      <c r="B217" s="200" t="s">
        <v>259</v>
      </c>
      <c r="C217" s="128" t="s">
        <v>47</v>
      </c>
      <c r="D217" s="128" t="s">
        <v>258</v>
      </c>
      <c r="E217" s="128">
        <v>1001068</v>
      </c>
      <c r="F217" s="149" t="str">
        <f t="shared" si="2"/>
        <v>UAEMLPUHHMN0140001</v>
      </c>
      <c r="G217" s="149" t="s">
        <v>75</v>
      </c>
      <c r="H217" s="128">
        <v>16249335</v>
      </c>
      <c r="I217" s="154" t="s">
        <v>76</v>
      </c>
      <c r="J217" s="131" t="s">
        <v>51</v>
      </c>
    </row>
    <row r="218" spans="1:10" x14ac:dyDescent="0.3">
      <c r="A218" s="132"/>
      <c r="B218" s="201"/>
      <c r="C218" s="133" t="s">
        <v>47</v>
      </c>
      <c r="D218" s="133" t="s">
        <v>258</v>
      </c>
      <c r="E218" s="133">
        <v>1001068</v>
      </c>
      <c r="F218" s="133" t="str">
        <f t="shared" si="2"/>
        <v>UAEMLPUHHMN0180001</v>
      </c>
      <c r="G218" s="133" t="s">
        <v>260</v>
      </c>
      <c r="H218" s="133">
        <v>16249341</v>
      </c>
      <c r="I218" s="136" t="s">
        <v>261</v>
      </c>
      <c r="J218" s="137" t="s">
        <v>51</v>
      </c>
    </row>
    <row r="219" spans="1:10" x14ac:dyDescent="0.3">
      <c r="A219" s="132" t="s">
        <v>258</v>
      </c>
      <c r="B219" s="201" t="s">
        <v>262</v>
      </c>
      <c r="C219" s="133" t="s">
        <v>47</v>
      </c>
      <c r="D219" s="133" t="s">
        <v>258</v>
      </c>
      <c r="E219" s="133">
        <v>1001068</v>
      </c>
      <c r="F219" s="153" t="str">
        <f t="shared" si="2"/>
        <v>UAEMLPUHHMN0240001</v>
      </c>
      <c r="G219" s="153" t="s">
        <v>77</v>
      </c>
      <c r="H219" s="133">
        <v>16250335</v>
      </c>
      <c r="I219" s="139" t="s">
        <v>78</v>
      </c>
      <c r="J219" s="137" t="s">
        <v>51</v>
      </c>
    </row>
    <row r="220" spans="1:10" x14ac:dyDescent="0.3">
      <c r="A220" s="132"/>
      <c r="B220" s="201"/>
      <c r="C220" s="133" t="s">
        <v>47</v>
      </c>
      <c r="D220" s="133" t="s">
        <v>258</v>
      </c>
      <c r="E220" s="133">
        <v>1001068</v>
      </c>
      <c r="F220" s="143" t="str">
        <f t="shared" si="2"/>
        <v>UAEMLPUHHMN0280001</v>
      </c>
      <c r="G220" s="143" t="s">
        <v>263</v>
      </c>
      <c r="H220" s="133">
        <v>16250341</v>
      </c>
      <c r="I220" s="136" t="s">
        <v>264</v>
      </c>
      <c r="J220" s="137" t="s">
        <v>51</v>
      </c>
    </row>
    <row r="221" spans="1:10" x14ac:dyDescent="0.3">
      <c r="A221" s="132" t="s">
        <v>258</v>
      </c>
      <c r="B221" s="201" t="s">
        <v>262</v>
      </c>
      <c r="C221" s="133" t="s">
        <v>47</v>
      </c>
      <c r="D221" s="133" t="s">
        <v>258</v>
      </c>
      <c r="E221" s="133">
        <v>1001068</v>
      </c>
      <c r="F221" s="141" t="str">
        <f t="shared" si="2"/>
        <v>UAEMLPUHHMN0340001</v>
      </c>
      <c r="G221" s="141" t="s">
        <v>79</v>
      </c>
      <c r="H221" s="133">
        <v>16251335</v>
      </c>
      <c r="I221" s="139" t="s">
        <v>80</v>
      </c>
      <c r="J221" s="137" t="s">
        <v>51</v>
      </c>
    </row>
    <row r="222" spans="1:10" x14ac:dyDescent="0.3">
      <c r="A222" s="132"/>
      <c r="B222" s="201"/>
      <c r="C222" s="133" t="s">
        <v>47</v>
      </c>
      <c r="D222" s="133" t="s">
        <v>258</v>
      </c>
      <c r="E222" s="133">
        <v>1001068</v>
      </c>
      <c r="F222" s="141" t="str">
        <f t="shared" si="2"/>
        <v>UAEMLPUHHMN0380001</v>
      </c>
      <c r="G222" s="141" t="s">
        <v>265</v>
      </c>
      <c r="H222" s="133">
        <v>16251341</v>
      </c>
      <c r="I222" s="136" t="s">
        <v>266</v>
      </c>
      <c r="J222" s="137" t="s">
        <v>51</v>
      </c>
    </row>
    <row r="223" spans="1:10" x14ac:dyDescent="0.3">
      <c r="A223" s="132" t="s">
        <v>258</v>
      </c>
      <c r="B223" s="201" t="s">
        <v>262</v>
      </c>
      <c r="C223" s="133" t="s">
        <v>47</v>
      </c>
      <c r="D223" s="133" t="s">
        <v>258</v>
      </c>
      <c r="E223" s="133">
        <v>1001068</v>
      </c>
      <c r="F223" s="141" t="str">
        <f t="shared" si="2"/>
        <v>UAEMLPUHHSA0440001</v>
      </c>
      <c r="G223" s="141" t="s">
        <v>267</v>
      </c>
      <c r="H223" s="133">
        <v>16248335</v>
      </c>
      <c r="I223" s="139" t="s">
        <v>268</v>
      </c>
      <c r="J223" s="137" t="s">
        <v>51</v>
      </c>
    </row>
    <row r="224" spans="1:10" x14ac:dyDescent="0.3">
      <c r="A224" s="132" t="s">
        <v>258</v>
      </c>
      <c r="B224" s="201" t="s">
        <v>262</v>
      </c>
      <c r="C224" s="133" t="s">
        <v>47</v>
      </c>
      <c r="D224" s="133" t="s">
        <v>258</v>
      </c>
      <c r="E224" s="133">
        <v>1001068</v>
      </c>
      <c r="F224" s="133" t="str">
        <f t="shared" si="2"/>
        <v>UAEMLPUHHSA0480001</v>
      </c>
      <c r="G224" s="133" t="s">
        <v>269</v>
      </c>
      <c r="H224" s="135">
        <v>16248341</v>
      </c>
      <c r="I224" s="136" t="s">
        <v>270</v>
      </c>
      <c r="J224" s="137" t="s">
        <v>51</v>
      </c>
    </row>
    <row r="225" spans="1:10" x14ac:dyDescent="0.3">
      <c r="A225" s="132" t="s">
        <v>258</v>
      </c>
      <c r="B225" s="201" t="s">
        <v>262</v>
      </c>
      <c r="C225" s="133" t="s">
        <v>47</v>
      </c>
      <c r="D225" s="133" t="s">
        <v>258</v>
      </c>
      <c r="E225" s="133">
        <v>1001068</v>
      </c>
      <c r="F225" s="133" t="str">
        <f t="shared" si="2"/>
        <v>UAEMLPUHHMN0540001</v>
      </c>
      <c r="G225" s="133" t="s">
        <v>83</v>
      </c>
      <c r="H225" s="138">
        <v>16711335</v>
      </c>
      <c r="I225" s="139" t="s">
        <v>84</v>
      </c>
      <c r="J225" s="137" t="s">
        <v>51</v>
      </c>
    </row>
    <row r="226" spans="1:10" x14ac:dyDescent="0.3">
      <c r="A226" s="132" t="s">
        <v>258</v>
      </c>
      <c r="B226" s="201" t="s">
        <v>262</v>
      </c>
      <c r="C226" s="133" t="s">
        <v>47</v>
      </c>
      <c r="D226" s="133" t="s">
        <v>258</v>
      </c>
      <c r="E226" s="133">
        <v>1001068</v>
      </c>
      <c r="F226" s="141" t="str">
        <f t="shared" si="2"/>
        <v>UAEMLPUHHMN0840001</v>
      </c>
      <c r="G226" s="134" t="s">
        <v>271</v>
      </c>
      <c r="H226" s="134">
        <v>16668335</v>
      </c>
      <c r="I226" s="140" t="s">
        <v>272</v>
      </c>
      <c r="J226" s="137" t="s">
        <v>51</v>
      </c>
    </row>
    <row r="227" spans="1:10" x14ac:dyDescent="0.3">
      <c r="A227" s="132" t="s">
        <v>258</v>
      </c>
      <c r="B227" s="201" t="s">
        <v>262</v>
      </c>
      <c r="C227" s="133" t="s">
        <v>47</v>
      </c>
      <c r="D227" s="133" t="s">
        <v>258</v>
      </c>
      <c r="E227" s="133">
        <v>1001068</v>
      </c>
      <c r="F227" s="133" t="str">
        <f t="shared" ref="F227:F290" si="3">+_xlfn.CONCAT(D227,G227)</f>
        <v>UAEMLPUHHMN1140001</v>
      </c>
      <c r="G227" s="133" t="s">
        <v>254</v>
      </c>
      <c r="H227" s="143">
        <v>16313335</v>
      </c>
      <c r="I227" s="152" t="s">
        <v>255</v>
      </c>
      <c r="J227" s="137" t="s">
        <v>51</v>
      </c>
    </row>
    <row r="228" spans="1:10" x14ac:dyDescent="0.3">
      <c r="A228" s="132" t="s">
        <v>258</v>
      </c>
      <c r="B228" s="201" t="s">
        <v>262</v>
      </c>
      <c r="C228" s="133" t="s">
        <v>47</v>
      </c>
      <c r="D228" s="133" t="s">
        <v>258</v>
      </c>
      <c r="E228" s="133">
        <v>1001068</v>
      </c>
      <c r="F228" s="153" t="str">
        <f t="shared" si="3"/>
        <v>UAEMLPUHHMN1440001</v>
      </c>
      <c r="G228" s="153" t="s">
        <v>256</v>
      </c>
      <c r="H228" s="141">
        <v>16335335</v>
      </c>
      <c r="I228" s="139" t="s">
        <v>257</v>
      </c>
      <c r="J228" s="137" t="s">
        <v>51</v>
      </c>
    </row>
    <row r="229" spans="1:10" x14ac:dyDescent="0.3">
      <c r="A229" s="132"/>
      <c r="B229" s="201"/>
      <c r="C229" s="133" t="s">
        <v>47</v>
      </c>
      <c r="D229" s="133" t="s">
        <v>258</v>
      </c>
      <c r="E229" s="133">
        <v>1001068</v>
      </c>
      <c r="F229" s="142" t="str">
        <f t="shared" si="3"/>
        <v>UAEMLPUFCMN1540002</v>
      </c>
      <c r="G229" s="134" t="s">
        <v>273</v>
      </c>
      <c r="H229" s="134">
        <v>420744</v>
      </c>
      <c r="I229" s="140" t="s">
        <v>274</v>
      </c>
      <c r="J229" s="137" t="s">
        <v>66</v>
      </c>
    </row>
    <row r="230" spans="1:10" x14ac:dyDescent="0.3">
      <c r="A230" s="132" t="s">
        <v>258</v>
      </c>
      <c r="B230" s="201" t="s">
        <v>262</v>
      </c>
      <c r="C230" s="133" t="s">
        <v>47</v>
      </c>
      <c r="D230" s="133" t="s">
        <v>258</v>
      </c>
      <c r="E230" s="133">
        <v>1001068</v>
      </c>
      <c r="F230" s="143" t="str">
        <f t="shared" si="3"/>
        <v>UAEMLPRFCMN1440001</v>
      </c>
      <c r="G230" s="143" t="s">
        <v>120</v>
      </c>
      <c r="H230" s="141">
        <v>406112</v>
      </c>
      <c r="I230" s="136" t="s">
        <v>63</v>
      </c>
      <c r="J230" s="137" t="s">
        <v>66</v>
      </c>
    </row>
    <row r="231" spans="1:10" x14ac:dyDescent="0.3">
      <c r="A231" s="132" t="s">
        <v>258</v>
      </c>
      <c r="B231" s="201" t="s">
        <v>262</v>
      </c>
      <c r="C231" s="133" t="s">
        <v>47</v>
      </c>
      <c r="D231" s="133" t="s">
        <v>258</v>
      </c>
      <c r="E231" s="133">
        <v>1001068</v>
      </c>
      <c r="F231" s="141" t="str">
        <f t="shared" si="3"/>
        <v>UAEMLPRFCMN1540001</v>
      </c>
      <c r="G231" s="141" t="s">
        <v>64</v>
      </c>
      <c r="H231" s="141">
        <v>408341</v>
      </c>
      <c r="I231" s="136" t="s">
        <v>65</v>
      </c>
      <c r="J231" s="137" t="s">
        <v>66</v>
      </c>
    </row>
    <row r="232" spans="1:10" x14ac:dyDescent="0.3">
      <c r="A232" s="132" t="s">
        <v>258</v>
      </c>
      <c r="B232" s="201" t="s">
        <v>262</v>
      </c>
      <c r="C232" s="133" t="s">
        <v>47</v>
      </c>
      <c r="D232" s="133" t="s">
        <v>258</v>
      </c>
      <c r="E232" s="133">
        <v>1001068</v>
      </c>
      <c r="F232" s="141" t="str">
        <f t="shared" si="3"/>
        <v>UAEMLPSHHMN0140001</v>
      </c>
      <c r="G232" s="141" t="s">
        <v>275</v>
      </c>
      <c r="H232" s="133">
        <v>16221335</v>
      </c>
      <c r="I232" s="139" t="s">
        <v>276</v>
      </c>
      <c r="J232" s="137" t="s">
        <v>51</v>
      </c>
    </row>
    <row r="233" spans="1:10" x14ac:dyDescent="0.3">
      <c r="A233" s="132" t="s">
        <v>258</v>
      </c>
      <c r="B233" s="201" t="s">
        <v>262</v>
      </c>
      <c r="C233" s="133" t="s">
        <v>47</v>
      </c>
      <c r="D233" s="133" t="s">
        <v>258</v>
      </c>
      <c r="E233" s="133">
        <v>1001068</v>
      </c>
      <c r="F233" s="141" t="str">
        <f t="shared" si="3"/>
        <v>UAEMLPSHHMN0240001</v>
      </c>
      <c r="G233" s="141" t="s">
        <v>277</v>
      </c>
      <c r="H233" s="133">
        <v>16220335</v>
      </c>
      <c r="I233" s="139" t="s">
        <v>278</v>
      </c>
      <c r="J233" s="137" t="s">
        <v>51</v>
      </c>
    </row>
    <row r="234" spans="1:10" x14ac:dyDescent="0.3">
      <c r="A234" s="132" t="s">
        <v>258</v>
      </c>
      <c r="B234" s="201" t="s">
        <v>262</v>
      </c>
      <c r="C234" s="133" t="s">
        <v>47</v>
      </c>
      <c r="D234" s="133" t="s">
        <v>258</v>
      </c>
      <c r="E234" s="133">
        <v>1001068</v>
      </c>
      <c r="F234" s="141" t="str">
        <f t="shared" si="3"/>
        <v>UAERFPUESMN0107003</v>
      </c>
      <c r="G234" s="141" t="s">
        <v>279</v>
      </c>
      <c r="H234" s="133">
        <v>1137171</v>
      </c>
      <c r="I234" s="139" t="s">
        <v>280</v>
      </c>
      <c r="J234" s="137" t="s">
        <v>281</v>
      </c>
    </row>
    <row r="235" spans="1:10" x14ac:dyDescent="0.3">
      <c r="A235" s="132"/>
      <c r="B235" s="201"/>
      <c r="C235" s="133" t="s">
        <v>47</v>
      </c>
      <c r="D235" s="133" t="s">
        <v>258</v>
      </c>
      <c r="E235" s="133">
        <v>1001068</v>
      </c>
      <c r="F235" s="133" t="str">
        <f t="shared" si="3"/>
        <v>UAERFPUESMN1407001</v>
      </c>
      <c r="G235" s="133" t="s">
        <v>282</v>
      </c>
      <c r="H235" s="133">
        <v>1001171</v>
      </c>
      <c r="I235" s="139" t="s">
        <v>283</v>
      </c>
      <c r="J235" s="137" t="s">
        <v>281</v>
      </c>
    </row>
    <row r="236" spans="1:10" x14ac:dyDescent="0.3">
      <c r="A236" s="132" t="s">
        <v>258</v>
      </c>
      <c r="B236" s="201" t="s">
        <v>262</v>
      </c>
      <c r="C236" s="133" t="s">
        <v>47</v>
      </c>
      <c r="D236" s="133" t="s">
        <v>258</v>
      </c>
      <c r="E236" s="133">
        <v>1001068</v>
      </c>
      <c r="F236" s="133" t="str">
        <f t="shared" si="3"/>
        <v>UAERFPRESMN1007002</v>
      </c>
      <c r="G236" s="133" t="s">
        <v>284</v>
      </c>
      <c r="H236" s="133">
        <v>10892</v>
      </c>
      <c r="I236" s="139" t="s">
        <v>285</v>
      </c>
      <c r="J236" s="137" t="s">
        <v>281</v>
      </c>
    </row>
    <row r="237" spans="1:10" x14ac:dyDescent="0.3">
      <c r="A237" s="132" t="s">
        <v>258</v>
      </c>
      <c r="B237" s="201" t="s">
        <v>262</v>
      </c>
      <c r="C237" s="133" t="s">
        <v>47</v>
      </c>
      <c r="D237" s="133" t="s">
        <v>258</v>
      </c>
      <c r="E237" s="133">
        <v>1001068</v>
      </c>
      <c r="F237" s="141" t="str">
        <f t="shared" si="3"/>
        <v>UAECRPRNUMN0125001</v>
      </c>
      <c r="G237" s="141" t="s">
        <v>220</v>
      </c>
      <c r="H237" s="182">
        <v>600154</v>
      </c>
      <c r="I237" s="140" t="s">
        <v>221</v>
      </c>
      <c r="J237" s="137" t="s">
        <v>170</v>
      </c>
    </row>
    <row r="238" spans="1:10" x14ac:dyDescent="0.3">
      <c r="A238" s="132" t="s">
        <v>258</v>
      </c>
      <c r="B238" s="201" t="s">
        <v>262</v>
      </c>
      <c r="C238" s="133" t="s">
        <v>47</v>
      </c>
      <c r="D238" s="133" t="s">
        <v>258</v>
      </c>
      <c r="E238" s="133">
        <v>1001068</v>
      </c>
      <c r="F238" s="133" t="str">
        <f t="shared" si="3"/>
        <v>UAECRPRNUMN0225001</v>
      </c>
      <c r="G238" s="133" t="s">
        <v>222</v>
      </c>
      <c r="H238" s="133">
        <v>600151</v>
      </c>
      <c r="I238" s="139" t="s">
        <v>286</v>
      </c>
      <c r="J238" s="137" t="s">
        <v>170</v>
      </c>
    </row>
    <row r="239" spans="1:10" x14ac:dyDescent="0.3">
      <c r="A239" s="132" t="s">
        <v>258</v>
      </c>
      <c r="B239" s="201" t="s">
        <v>262</v>
      </c>
      <c r="C239" s="133" t="s">
        <v>47</v>
      </c>
      <c r="D239" s="133" t="s">
        <v>258</v>
      </c>
      <c r="E239" s="133">
        <v>1001068</v>
      </c>
      <c r="F239" s="133" t="str">
        <f t="shared" si="3"/>
        <v>UAECRPRNUMN0325001</v>
      </c>
      <c r="G239" s="133" t="s">
        <v>224</v>
      </c>
      <c r="H239" s="135">
        <v>600152</v>
      </c>
      <c r="I239" s="136" t="s">
        <v>225</v>
      </c>
      <c r="J239" s="137" t="s">
        <v>170</v>
      </c>
    </row>
    <row r="240" spans="1:10" x14ac:dyDescent="0.3">
      <c r="A240" s="132" t="s">
        <v>258</v>
      </c>
      <c r="B240" s="201" t="s">
        <v>262</v>
      </c>
      <c r="C240" s="133" t="s">
        <v>47</v>
      </c>
      <c r="D240" s="133" t="s">
        <v>258</v>
      </c>
      <c r="E240" s="133">
        <v>1001068</v>
      </c>
      <c r="F240" s="153" t="str">
        <f t="shared" si="3"/>
        <v>UAECRPRNUMN0425001</v>
      </c>
      <c r="G240" s="153" t="s">
        <v>226</v>
      </c>
      <c r="H240" s="135">
        <v>600150</v>
      </c>
      <c r="I240" s="139" t="s">
        <v>227</v>
      </c>
      <c r="J240" s="137" t="s">
        <v>170</v>
      </c>
    </row>
    <row r="241" spans="1:10" x14ac:dyDescent="0.3">
      <c r="A241" s="132" t="s">
        <v>258</v>
      </c>
      <c r="B241" s="201" t="s">
        <v>262</v>
      </c>
      <c r="C241" s="133" t="s">
        <v>47</v>
      </c>
      <c r="D241" s="133" t="s">
        <v>258</v>
      </c>
      <c r="E241" s="133">
        <v>1001068</v>
      </c>
      <c r="F241" s="142" t="str">
        <f t="shared" si="3"/>
        <v>UAECRPRNUMN0725001</v>
      </c>
      <c r="G241" s="142" t="s">
        <v>287</v>
      </c>
      <c r="H241" s="133">
        <v>600155</v>
      </c>
      <c r="I241" s="139" t="s">
        <v>288</v>
      </c>
      <c r="J241" s="137" t="s">
        <v>170</v>
      </c>
    </row>
    <row r="242" spans="1:10" x14ac:dyDescent="0.3">
      <c r="A242" s="132" t="s">
        <v>258</v>
      </c>
      <c r="B242" s="201" t="s">
        <v>262</v>
      </c>
      <c r="C242" s="133" t="s">
        <v>47</v>
      </c>
      <c r="D242" s="133" t="s">
        <v>258</v>
      </c>
      <c r="E242" s="133">
        <v>1001068</v>
      </c>
      <c r="F242" s="143" t="str">
        <f t="shared" si="3"/>
        <v>UAECRPRNUMN0825001</v>
      </c>
      <c r="G242" s="143" t="s">
        <v>289</v>
      </c>
      <c r="H242" s="133">
        <v>600153</v>
      </c>
      <c r="I242" s="139" t="s">
        <v>290</v>
      </c>
      <c r="J242" s="137" t="s">
        <v>170</v>
      </c>
    </row>
    <row r="243" spans="1:10" ht="15" thickBot="1" x14ac:dyDescent="0.35">
      <c r="A243" s="144" t="s">
        <v>258</v>
      </c>
      <c r="B243" s="202" t="s">
        <v>262</v>
      </c>
      <c r="C243" s="145" t="s">
        <v>47</v>
      </c>
      <c r="D243" s="145" t="s">
        <v>258</v>
      </c>
      <c r="E243" s="145">
        <v>1001068</v>
      </c>
      <c r="F243" s="157" t="str">
        <f t="shared" si="3"/>
        <v>UAEMLPRFCMN1540001</v>
      </c>
      <c r="G243" s="157" t="s">
        <v>64</v>
      </c>
      <c r="H243" s="145">
        <v>408341</v>
      </c>
      <c r="I243" s="186" t="s">
        <v>65</v>
      </c>
      <c r="J243" s="148" t="s">
        <v>66</v>
      </c>
    </row>
    <row r="244" spans="1:10" x14ac:dyDescent="0.3">
      <c r="A244" s="127" t="s">
        <v>291</v>
      </c>
      <c r="B244" s="200" t="s">
        <v>292</v>
      </c>
      <c r="C244" s="128" t="s">
        <v>47</v>
      </c>
      <c r="D244" s="128" t="s">
        <v>291</v>
      </c>
      <c r="E244" s="128">
        <v>1001035</v>
      </c>
      <c r="F244" s="149" t="str">
        <f t="shared" si="3"/>
        <v>QatarMLPUHHMN0140001</v>
      </c>
      <c r="G244" s="159" t="s">
        <v>75</v>
      </c>
      <c r="H244" s="128">
        <v>16249335</v>
      </c>
      <c r="I244" s="154" t="s">
        <v>76</v>
      </c>
      <c r="J244" s="131" t="s">
        <v>51</v>
      </c>
    </row>
    <row r="245" spans="1:10" x14ac:dyDescent="0.3">
      <c r="A245" s="132"/>
      <c r="B245" s="201"/>
      <c r="C245" s="133" t="s">
        <v>47</v>
      </c>
      <c r="D245" s="133" t="s">
        <v>291</v>
      </c>
      <c r="E245" s="133">
        <v>1001035</v>
      </c>
      <c r="F245" s="133" t="str">
        <f t="shared" si="3"/>
        <v>QatarMLPUHHMN0180001</v>
      </c>
      <c r="G245" s="138" t="s">
        <v>260</v>
      </c>
      <c r="H245" s="133">
        <v>16249341</v>
      </c>
      <c r="I245" s="136" t="s">
        <v>261</v>
      </c>
      <c r="J245" s="137" t="s">
        <v>51</v>
      </c>
    </row>
    <row r="246" spans="1:10" x14ac:dyDescent="0.3">
      <c r="A246" s="132" t="s">
        <v>291</v>
      </c>
      <c r="B246" s="201" t="s">
        <v>293</v>
      </c>
      <c r="C246" s="133" t="s">
        <v>47</v>
      </c>
      <c r="D246" s="133" t="s">
        <v>291</v>
      </c>
      <c r="E246" s="133">
        <v>1001035</v>
      </c>
      <c r="F246" s="153" t="str">
        <f t="shared" si="3"/>
        <v>QatarMLPUHHMN0240001</v>
      </c>
      <c r="G246" s="138" t="s">
        <v>77</v>
      </c>
      <c r="H246" s="133">
        <v>16250335</v>
      </c>
      <c r="I246" s="139" t="s">
        <v>78</v>
      </c>
      <c r="J246" s="137" t="s">
        <v>51</v>
      </c>
    </row>
    <row r="247" spans="1:10" x14ac:dyDescent="0.3">
      <c r="A247" s="132"/>
      <c r="B247" s="201"/>
      <c r="C247" s="133" t="s">
        <v>47</v>
      </c>
      <c r="D247" s="133" t="s">
        <v>291</v>
      </c>
      <c r="E247" s="133">
        <v>1001035</v>
      </c>
      <c r="F247" s="143" t="str">
        <f t="shared" si="3"/>
        <v>QatarMLPUHHMN0280001</v>
      </c>
      <c r="G247" s="138" t="s">
        <v>263</v>
      </c>
      <c r="H247" s="133">
        <v>16250341</v>
      </c>
      <c r="I247" s="136" t="s">
        <v>264</v>
      </c>
      <c r="J247" s="137" t="s">
        <v>51</v>
      </c>
    </row>
    <row r="248" spans="1:10" x14ac:dyDescent="0.3">
      <c r="A248" s="132" t="s">
        <v>291</v>
      </c>
      <c r="B248" s="201" t="s">
        <v>293</v>
      </c>
      <c r="C248" s="133" t="s">
        <v>47</v>
      </c>
      <c r="D248" s="133" t="s">
        <v>291</v>
      </c>
      <c r="E248" s="133">
        <v>1001035</v>
      </c>
      <c r="F248" s="141" t="str">
        <f t="shared" si="3"/>
        <v>QatarMLPUHHMN0340001</v>
      </c>
      <c r="G248" s="138" t="s">
        <v>79</v>
      </c>
      <c r="H248" s="133">
        <v>16251335</v>
      </c>
      <c r="I248" s="139" t="s">
        <v>80</v>
      </c>
      <c r="J248" s="137" t="s">
        <v>51</v>
      </c>
    </row>
    <row r="249" spans="1:10" x14ac:dyDescent="0.3">
      <c r="A249" s="132"/>
      <c r="B249" s="201"/>
      <c r="C249" s="133" t="s">
        <v>47</v>
      </c>
      <c r="D249" s="133" t="s">
        <v>291</v>
      </c>
      <c r="E249" s="133">
        <v>1001035</v>
      </c>
      <c r="F249" s="141" t="str">
        <f t="shared" si="3"/>
        <v>QatarMLPUHHMN0380001</v>
      </c>
      <c r="G249" s="138" t="s">
        <v>265</v>
      </c>
      <c r="H249" s="133">
        <v>16251341</v>
      </c>
      <c r="I249" s="136" t="s">
        <v>266</v>
      </c>
      <c r="J249" s="137" t="s">
        <v>51</v>
      </c>
    </row>
    <row r="250" spans="1:10" x14ac:dyDescent="0.3">
      <c r="A250" s="132" t="s">
        <v>291</v>
      </c>
      <c r="B250" s="201" t="s">
        <v>293</v>
      </c>
      <c r="C250" s="133" t="s">
        <v>47</v>
      </c>
      <c r="D250" s="133" t="s">
        <v>291</v>
      </c>
      <c r="E250" s="133">
        <v>1001035</v>
      </c>
      <c r="F250" s="141" t="str">
        <f t="shared" si="3"/>
        <v>QatarMLPUHHMN0440001</v>
      </c>
      <c r="G250" s="141" t="s">
        <v>81</v>
      </c>
      <c r="H250" s="133">
        <v>16252335</v>
      </c>
      <c r="I250" s="136" t="s">
        <v>82</v>
      </c>
      <c r="J250" s="137" t="s">
        <v>51</v>
      </c>
    </row>
    <row r="251" spans="1:10" x14ac:dyDescent="0.3">
      <c r="A251" s="132" t="s">
        <v>291</v>
      </c>
      <c r="B251" s="201" t="s">
        <v>293</v>
      </c>
      <c r="C251" s="133" t="s">
        <v>47</v>
      </c>
      <c r="D251" s="133" t="s">
        <v>291</v>
      </c>
      <c r="E251" s="133">
        <v>1001035</v>
      </c>
      <c r="F251" s="141" t="str">
        <f t="shared" si="3"/>
        <v>QatarMLPUHHMN0490001</v>
      </c>
      <c r="G251" s="141" t="s">
        <v>294</v>
      </c>
      <c r="H251" s="133">
        <v>16252343</v>
      </c>
      <c r="I251" s="139" t="s">
        <v>295</v>
      </c>
      <c r="J251" s="137" t="s">
        <v>51</v>
      </c>
    </row>
    <row r="252" spans="1:10" x14ac:dyDescent="0.3">
      <c r="A252" s="132" t="s">
        <v>291</v>
      </c>
      <c r="B252" s="201" t="s">
        <v>293</v>
      </c>
      <c r="C252" s="133" t="s">
        <v>47</v>
      </c>
      <c r="D252" s="133" t="s">
        <v>291</v>
      </c>
      <c r="E252" s="133">
        <v>1001035</v>
      </c>
      <c r="F252" s="141" t="str">
        <f t="shared" si="3"/>
        <v>QatarMLPUHHMN0540001</v>
      </c>
      <c r="G252" s="141" t="s">
        <v>83</v>
      </c>
      <c r="H252" s="133">
        <v>16711335</v>
      </c>
      <c r="I252" s="139" t="s">
        <v>84</v>
      </c>
      <c r="J252" s="137" t="s">
        <v>51</v>
      </c>
    </row>
    <row r="253" spans="1:10" x14ac:dyDescent="0.3">
      <c r="A253" s="132" t="s">
        <v>291</v>
      </c>
      <c r="B253" s="201" t="s">
        <v>293</v>
      </c>
      <c r="C253" s="133" t="s">
        <v>47</v>
      </c>
      <c r="D253" s="133" t="s">
        <v>291</v>
      </c>
      <c r="E253" s="133">
        <v>1001035</v>
      </c>
      <c r="F253" s="141" t="str">
        <f t="shared" si="3"/>
        <v>QatarMLPUHHMN0840001</v>
      </c>
      <c r="G253" s="141" t="s">
        <v>271</v>
      </c>
      <c r="H253" s="133">
        <v>16668335</v>
      </c>
      <c r="I253" s="139" t="s">
        <v>272</v>
      </c>
      <c r="J253" s="137" t="s">
        <v>51</v>
      </c>
    </row>
    <row r="254" spans="1:10" x14ac:dyDescent="0.3">
      <c r="A254" s="132" t="s">
        <v>291</v>
      </c>
      <c r="B254" s="201" t="s">
        <v>293</v>
      </c>
      <c r="C254" s="133" t="s">
        <v>47</v>
      </c>
      <c r="D254" s="133" t="s">
        <v>291</v>
      </c>
      <c r="E254" s="133">
        <v>1001035</v>
      </c>
      <c r="F254" s="133" t="str">
        <f t="shared" si="3"/>
        <v>QatarMLPUHHMN1140001</v>
      </c>
      <c r="G254" s="141" t="s">
        <v>254</v>
      </c>
      <c r="H254" s="133">
        <v>16313335</v>
      </c>
      <c r="I254" s="139" t="s">
        <v>255</v>
      </c>
      <c r="J254" s="137" t="s">
        <v>51</v>
      </c>
    </row>
    <row r="255" spans="1:10" x14ac:dyDescent="0.3">
      <c r="A255" s="132" t="s">
        <v>291</v>
      </c>
      <c r="B255" s="201" t="s">
        <v>293</v>
      </c>
      <c r="C255" s="133" t="s">
        <v>47</v>
      </c>
      <c r="D255" s="133" t="s">
        <v>291</v>
      </c>
      <c r="E255" s="133">
        <v>1001035</v>
      </c>
      <c r="F255" s="133" t="str">
        <f t="shared" si="3"/>
        <v>QatarMLPUHHMN1440001</v>
      </c>
      <c r="G255" s="141" t="s">
        <v>256</v>
      </c>
      <c r="H255" s="133">
        <v>16335335</v>
      </c>
      <c r="I255" s="139" t="s">
        <v>257</v>
      </c>
      <c r="J255" s="137" t="s">
        <v>51</v>
      </c>
    </row>
    <row r="256" spans="1:10" x14ac:dyDescent="0.3">
      <c r="A256" s="132"/>
      <c r="B256" s="201"/>
      <c r="C256" s="133" t="s">
        <v>47</v>
      </c>
      <c r="D256" s="133" t="s">
        <v>291</v>
      </c>
      <c r="E256" s="133">
        <v>1001035</v>
      </c>
      <c r="F256" s="153" t="str">
        <f t="shared" si="3"/>
        <v>QatarMLPUFCMN1540001</v>
      </c>
      <c r="G256" s="141" t="s">
        <v>296</v>
      </c>
      <c r="H256" s="133">
        <v>420400</v>
      </c>
      <c r="I256" s="139" t="s">
        <v>297</v>
      </c>
      <c r="J256" s="137" t="s">
        <v>66</v>
      </c>
    </row>
    <row r="257" spans="1:10" x14ac:dyDescent="0.3">
      <c r="A257" s="132" t="s">
        <v>291</v>
      </c>
      <c r="B257" s="201" t="s">
        <v>293</v>
      </c>
      <c r="C257" s="133" t="s">
        <v>47</v>
      </c>
      <c r="D257" s="133" t="s">
        <v>291</v>
      </c>
      <c r="E257" s="133">
        <v>1001035</v>
      </c>
      <c r="F257" s="142" t="str">
        <f t="shared" si="3"/>
        <v>QatarMLPSHHMN0140001</v>
      </c>
      <c r="G257" s="141" t="s">
        <v>275</v>
      </c>
      <c r="H257" s="133">
        <v>16221335</v>
      </c>
      <c r="I257" s="139" t="s">
        <v>276</v>
      </c>
      <c r="J257" s="137" t="s">
        <v>51</v>
      </c>
    </row>
    <row r="258" spans="1:10" x14ac:dyDescent="0.3">
      <c r="A258" s="132" t="s">
        <v>291</v>
      </c>
      <c r="B258" s="201" t="s">
        <v>293</v>
      </c>
      <c r="C258" s="133" t="s">
        <v>47</v>
      </c>
      <c r="D258" s="133" t="s">
        <v>291</v>
      </c>
      <c r="E258" s="133">
        <v>1001035</v>
      </c>
      <c r="F258" s="143" t="str">
        <f t="shared" si="3"/>
        <v>QatarMLPSHHMN0240001</v>
      </c>
      <c r="G258" s="141" t="s">
        <v>277</v>
      </c>
      <c r="H258" s="133">
        <v>16220335</v>
      </c>
      <c r="I258" s="139" t="s">
        <v>278</v>
      </c>
      <c r="J258" s="137" t="s">
        <v>51</v>
      </c>
    </row>
    <row r="259" spans="1:10" x14ac:dyDescent="0.3">
      <c r="A259" s="132"/>
      <c r="B259" s="201"/>
      <c r="C259" s="133" t="s">
        <v>47</v>
      </c>
      <c r="D259" s="133" t="s">
        <v>291</v>
      </c>
      <c r="E259" s="133">
        <v>1001035</v>
      </c>
      <c r="F259" s="141" t="str">
        <f t="shared" si="3"/>
        <v>QatarMLPSHHMN0204201</v>
      </c>
      <c r="G259" s="141" t="s">
        <v>298</v>
      </c>
      <c r="H259" s="133">
        <v>16220916</v>
      </c>
      <c r="I259" s="139" t="s">
        <v>299</v>
      </c>
      <c r="J259" s="137" t="s">
        <v>51</v>
      </c>
    </row>
    <row r="260" spans="1:10" x14ac:dyDescent="0.3">
      <c r="A260" s="132" t="s">
        <v>291</v>
      </c>
      <c r="B260" s="201" t="s">
        <v>293</v>
      </c>
      <c r="C260" s="133" t="s">
        <v>47</v>
      </c>
      <c r="D260" s="133" t="s">
        <v>291</v>
      </c>
      <c r="E260" s="133">
        <v>1001035</v>
      </c>
      <c r="F260" s="141" t="str">
        <f t="shared" si="3"/>
        <v>QatarCRPRNUMN0125001</v>
      </c>
      <c r="G260" s="141" t="s">
        <v>220</v>
      </c>
      <c r="H260" s="133">
        <v>600154</v>
      </c>
      <c r="I260" s="139" t="s">
        <v>221</v>
      </c>
      <c r="J260" s="137" t="s">
        <v>170</v>
      </c>
    </row>
    <row r="261" spans="1:10" x14ac:dyDescent="0.3">
      <c r="A261" s="132" t="s">
        <v>291</v>
      </c>
      <c r="B261" s="201" t="s">
        <v>293</v>
      </c>
      <c r="C261" s="133" t="s">
        <v>47</v>
      </c>
      <c r="D261" s="133" t="s">
        <v>291</v>
      </c>
      <c r="E261" s="133">
        <v>1001035</v>
      </c>
      <c r="F261" s="141" t="str">
        <f t="shared" si="3"/>
        <v>QatarCRPRNUMN0225001</v>
      </c>
      <c r="G261" s="141" t="s">
        <v>222</v>
      </c>
      <c r="H261" s="133">
        <v>600151</v>
      </c>
      <c r="I261" s="139" t="s">
        <v>286</v>
      </c>
      <c r="J261" s="137" t="s">
        <v>170</v>
      </c>
    </row>
    <row r="262" spans="1:10" x14ac:dyDescent="0.3">
      <c r="A262" s="132" t="s">
        <v>291</v>
      </c>
      <c r="B262" s="201" t="s">
        <v>293</v>
      </c>
      <c r="C262" s="133" t="s">
        <v>47</v>
      </c>
      <c r="D262" s="133" t="s">
        <v>291</v>
      </c>
      <c r="E262" s="133">
        <v>1001035</v>
      </c>
      <c r="F262" s="141" t="str">
        <f t="shared" si="3"/>
        <v>QatarCRPRNUMN0325001</v>
      </c>
      <c r="G262" s="141" t="s">
        <v>224</v>
      </c>
      <c r="H262" s="133">
        <v>600152</v>
      </c>
      <c r="I262" s="139" t="s">
        <v>225</v>
      </c>
      <c r="J262" s="137" t="s">
        <v>170</v>
      </c>
    </row>
    <row r="263" spans="1:10" x14ac:dyDescent="0.3">
      <c r="A263" s="132" t="s">
        <v>291</v>
      </c>
      <c r="B263" s="201" t="s">
        <v>293</v>
      </c>
      <c r="C263" s="133" t="s">
        <v>47</v>
      </c>
      <c r="D263" s="133" t="s">
        <v>291</v>
      </c>
      <c r="E263" s="133">
        <v>1001035</v>
      </c>
      <c r="F263" s="133" t="str">
        <f t="shared" si="3"/>
        <v>QatarCRPRNUMN0425001</v>
      </c>
      <c r="G263" s="133" t="s">
        <v>226</v>
      </c>
      <c r="H263" s="133">
        <v>600150</v>
      </c>
      <c r="I263" s="139" t="s">
        <v>227</v>
      </c>
      <c r="J263" s="137" t="s">
        <v>170</v>
      </c>
    </row>
    <row r="264" spans="1:10" x14ac:dyDescent="0.3">
      <c r="A264" s="132" t="s">
        <v>291</v>
      </c>
      <c r="B264" s="201" t="s">
        <v>293</v>
      </c>
      <c r="C264" s="133" t="s">
        <v>47</v>
      </c>
      <c r="D264" s="133" t="s">
        <v>291</v>
      </c>
      <c r="E264" s="133">
        <v>1001035</v>
      </c>
      <c r="F264" s="133" t="str">
        <f t="shared" si="3"/>
        <v>QatarCRPRNUMN0725001</v>
      </c>
      <c r="G264" s="133" t="s">
        <v>287</v>
      </c>
      <c r="H264" s="133">
        <v>600155</v>
      </c>
      <c r="I264" s="139" t="s">
        <v>288</v>
      </c>
      <c r="J264" s="137" t="s">
        <v>170</v>
      </c>
    </row>
    <row r="265" spans="1:10" x14ac:dyDescent="0.3">
      <c r="A265" s="132" t="s">
        <v>291</v>
      </c>
      <c r="B265" s="201" t="s">
        <v>293</v>
      </c>
      <c r="C265" s="133" t="s">
        <v>47</v>
      </c>
      <c r="D265" s="133" t="s">
        <v>291</v>
      </c>
      <c r="E265" s="133">
        <v>1001035</v>
      </c>
      <c r="F265" s="133" t="str">
        <f t="shared" si="3"/>
        <v>QatarCRPRNUMN0825001</v>
      </c>
      <c r="G265" s="133" t="s">
        <v>289</v>
      </c>
      <c r="H265" s="133">
        <v>600153</v>
      </c>
      <c r="I265" s="139" t="s">
        <v>290</v>
      </c>
      <c r="J265" s="137" t="s">
        <v>170</v>
      </c>
    </row>
    <row r="266" spans="1:10" x14ac:dyDescent="0.3">
      <c r="A266" s="132" t="s">
        <v>291</v>
      </c>
      <c r="B266" s="201" t="s">
        <v>293</v>
      </c>
      <c r="C266" s="133" t="s">
        <v>47</v>
      </c>
      <c r="D266" s="133" t="s">
        <v>291</v>
      </c>
      <c r="E266" s="133">
        <v>1001035</v>
      </c>
      <c r="F266" s="141" t="str">
        <f t="shared" si="3"/>
        <v>QatarRFPUESMN0107003</v>
      </c>
      <c r="G266" s="141" t="s">
        <v>279</v>
      </c>
      <c r="H266" s="182">
        <v>1137171</v>
      </c>
      <c r="I266" s="140" t="s">
        <v>280</v>
      </c>
      <c r="J266" s="137" t="s">
        <v>281</v>
      </c>
    </row>
    <row r="267" spans="1:10" x14ac:dyDescent="0.3">
      <c r="A267" s="132"/>
      <c r="B267" s="201"/>
      <c r="C267" s="133" t="s">
        <v>47</v>
      </c>
      <c r="D267" s="133" t="s">
        <v>291</v>
      </c>
      <c r="E267" s="133">
        <v>1001035</v>
      </c>
      <c r="F267" s="133" t="str">
        <f t="shared" si="3"/>
        <v>QatarRFPUESMN1407001</v>
      </c>
      <c r="G267" s="133" t="s">
        <v>282</v>
      </c>
      <c r="H267" s="135">
        <v>1001171</v>
      </c>
      <c r="I267" s="136" t="s">
        <v>283</v>
      </c>
      <c r="J267" s="137" t="s">
        <v>281</v>
      </c>
    </row>
    <row r="268" spans="1:10" ht="15" thickBot="1" x14ac:dyDescent="0.35">
      <c r="A268" s="144"/>
      <c r="B268" s="202"/>
      <c r="C268" s="145" t="s">
        <v>47</v>
      </c>
      <c r="D268" s="145" t="s">
        <v>291</v>
      </c>
      <c r="E268" s="145">
        <v>1001035</v>
      </c>
      <c r="F268" s="183" t="str">
        <f t="shared" si="3"/>
        <v>QatarRFPRESMN1007002</v>
      </c>
      <c r="G268" s="183" t="s">
        <v>284</v>
      </c>
      <c r="H268" s="146">
        <v>10892</v>
      </c>
      <c r="I268" s="186" t="s">
        <v>285</v>
      </c>
      <c r="J268" s="148" t="s">
        <v>281</v>
      </c>
    </row>
    <row r="269" spans="1:10" x14ac:dyDescent="0.3">
      <c r="A269" s="127" t="s">
        <v>300</v>
      </c>
      <c r="B269" s="200" t="s">
        <v>301</v>
      </c>
      <c r="C269" s="128" t="s">
        <v>47</v>
      </c>
      <c r="D269" s="128" t="s">
        <v>300</v>
      </c>
      <c r="E269" s="128">
        <v>1001023</v>
      </c>
      <c r="F269" s="149" t="str">
        <f t="shared" si="3"/>
        <v>KuwaitMLPUDKMN0140001</v>
      </c>
      <c r="G269" s="159" t="s">
        <v>302</v>
      </c>
      <c r="H269" s="128">
        <v>71112</v>
      </c>
      <c r="I269" s="154" t="s">
        <v>76</v>
      </c>
      <c r="J269" s="131" t="s">
        <v>104</v>
      </c>
    </row>
    <row r="270" spans="1:10" x14ac:dyDescent="0.3">
      <c r="A270" s="132" t="s">
        <v>300</v>
      </c>
      <c r="B270" s="201" t="s">
        <v>303</v>
      </c>
      <c r="C270" s="133" t="s">
        <v>47</v>
      </c>
      <c r="D270" s="133" t="s">
        <v>300</v>
      </c>
      <c r="E270" s="133">
        <v>1001023</v>
      </c>
      <c r="F270" s="153" t="str">
        <f t="shared" si="3"/>
        <v>KuwaitMLPUDKMN0240001</v>
      </c>
      <c r="G270" s="138" t="s">
        <v>304</v>
      </c>
      <c r="H270" s="133">
        <v>71113</v>
      </c>
      <c r="I270" s="139" t="s">
        <v>78</v>
      </c>
      <c r="J270" s="137" t="s">
        <v>104</v>
      </c>
    </row>
    <row r="271" spans="1:10" x14ac:dyDescent="0.3">
      <c r="A271" s="132" t="s">
        <v>300</v>
      </c>
      <c r="B271" s="201" t="s">
        <v>303</v>
      </c>
      <c r="C271" s="133" t="s">
        <v>47</v>
      </c>
      <c r="D271" s="133" t="s">
        <v>300</v>
      </c>
      <c r="E271" s="133">
        <v>1001023</v>
      </c>
      <c r="F271" s="141" t="str">
        <f t="shared" si="3"/>
        <v>KuwaitMLPUDKMN0340001</v>
      </c>
      <c r="G271" s="138" t="s">
        <v>305</v>
      </c>
      <c r="H271" s="133">
        <v>71114</v>
      </c>
      <c r="I271" s="139" t="s">
        <v>80</v>
      </c>
      <c r="J271" s="137" t="s">
        <v>104</v>
      </c>
    </row>
    <row r="272" spans="1:10" x14ac:dyDescent="0.3">
      <c r="A272" s="132" t="s">
        <v>300</v>
      </c>
      <c r="B272" s="201" t="s">
        <v>303</v>
      </c>
      <c r="C272" s="133" t="s">
        <v>47</v>
      </c>
      <c r="D272" s="133" t="s">
        <v>300</v>
      </c>
      <c r="E272" s="133">
        <v>1001023</v>
      </c>
      <c r="F272" s="141" t="str">
        <f t="shared" si="3"/>
        <v>KuwaitMLPUHHSA0440001</v>
      </c>
      <c r="G272" s="141" t="s">
        <v>267</v>
      </c>
      <c r="H272" s="141">
        <v>16248335</v>
      </c>
      <c r="I272" s="136" t="s">
        <v>268</v>
      </c>
      <c r="J272" s="175" t="s">
        <v>51</v>
      </c>
    </row>
    <row r="273" spans="1:10" x14ac:dyDescent="0.3">
      <c r="A273" s="132"/>
      <c r="B273" s="201"/>
      <c r="C273" s="133" t="s">
        <v>47</v>
      </c>
      <c r="D273" s="133" t="s">
        <v>300</v>
      </c>
      <c r="E273" s="133">
        <v>1001023</v>
      </c>
      <c r="F273" s="141" t="str">
        <f t="shared" si="3"/>
        <v>KuwaitMLPUHHSA0540001</v>
      </c>
      <c r="G273" s="138" t="s">
        <v>306</v>
      </c>
      <c r="H273" s="135">
        <v>16712335</v>
      </c>
      <c r="I273" s="181" t="s">
        <v>307</v>
      </c>
      <c r="J273" s="137" t="s">
        <v>51</v>
      </c>
    </row>
    <row r="274" spans="1:10" x14ac:dyDescent="0.3">
      <c r="A274" s="132" t="s">
        <v>300</v>
      </c>
      <c r="B274" s="201" t="s">
        <v>303</v>
      </c>
      <c r="C274" s="133" t="s">
        <v>47</v>
      </c>
      <c r="D274" s="133" t="s">
        <v>300</v>
      </c>
      <c r="E274" s="133">
        <v>1001023</v>
      </c>
      <c r="F274" s="141" t="str">
        <f t="shared" si="3"/>
        <v>KuwaitMLPUHHMN0840003</v>
      </c>
      <c r="G274" s="134" t="s">
        <v>308</v>
      </c>
      <c r="H274" s="134"/>
      <c r="I274" s="140" t="s">
        <v>309</v>
      </c>
      <c r="J274" s="137" t="s">
        <v>51</v>
      </c>
    </row>
    <row r="275" spans="1:10" x14ac:dyDescent="0.3">
      <c r="A275" s="132" t="s">
        <v>300</v>
      </c>
      <c r="B275" s="201" t="s">
        <v>303</v>
      </c>
      <c r="C275" s="133" t="s">
        <v>47</v>
      </c>
      <c r="D275" s="133" t="s">
        <v>300</v>
      </c>
      <c r="E275" s="133">
        <v>1001023</v>
      </c>
      <c r="F275" s="133" t="str">
        <f t="shared" si="3"/>
        <v>KuwaitMLPUHHSA1140001</v>
      </c>
      <c r="G275" s="134" t="s">
        <v>310</v>
      </c>
      <c r="H275" s="134">
        <v>16314335</v>
      </c>
      <c r="I275" s="152" t="s">
        <v>311</v>
      </c>
      <c r="J275" s="137" t="s">
        <v>51</v>
      </c>
    </row>
    <row r="276" spans="1:10" x14ac:dyDescent="0.3">
      <c r="A276" s="132" t="s">
        <v>300</v>
      </c>
      <c r="B276" s="201" t="s">
        <v>303</v>
      </c>
      <c r="C276" s="133" t="s">
        <v>47</v>
      </c>
      <c r="D276" s="133" t="s">
        <v>300</v>
      </c>
      <c r="E276" s="133">
        <v>1001023</v>
      </c>
      <c r="F276" s="133" t="str">
        <f t="shared" si="3"/>
        <v>KuwaitMLPUHHMN1440001</v>
      </c>
      <c r="G276" s="134" t="s">
        <v>256</v>
      </c>
      <c r="H276" s="134">
        <v>16335335</v>
      </c>
      <c r="I276" s="140" t="s">
        <v>257</v>
      </c>
      <c r="J276" s="137" t="s">
        <v>51</v>
      </c>
    </row>
    <row r="277" spans="1:10" x14ac:dyDescent="0.3">
      <c r="A277" s="132" t="s">
        <v>300</v>
      </c>
      <c r="B277" s="201" t="s">
        <v>303</v>
      </c>
      <c r="C277" s="133" t="s">
        <v>47</v>
      </c>
      <c r="D277" s="133" t="s">
        <v>300</v>
      </c>
      <c r="E277" s="133">
        <v>1001023</v>
      </c>
      <c r="F277" s="153" t="str">
        <f t="shared" si="3"/>
        <v>KuwaitMLPUFCMN1540002</v>
      </c>
      <c r="G277" s="134" t="s">
        <v>273</v>
      </c>
      <c r="H277" s="134">
        <v>420744</v>
      </c>
      <c r="I277" s="140" t="s">
        <v>274</v>
      </c>
      <c r="J277" s="137" t="s">
        <v>66</v>
      </c>
    </row>
    <row r="278" spans="1:10" x14ac:dyDescent="0.3">
      <c r="A278" s="132" t="s">
        <v>300</v>
      </c>
      <c r="B278" s="201" t="s">
        <v>303</v>
      </c>
      <c r="C278" s="133" t="s">
        <v>47</v>
      </c>
      <c r="D278" s="133" t="s">
        <v>300</v>
      </c>
      <c r="E278" s="133">
        <v>1001023</v>
      </c>
      <c r="F278" s="142" t="str">
        <f t="shared" si="3"/>
        <v>KuwaitMLPSHHMN0140001</v>
      </c>
      <c r="G278" s="134" t="s">
        <v>275</v>
      </c>
      <c r="H278" s="134">
        <v>16221335</v>
      </c>
      <c r="I278" s="140" t="s">
        <v>276</v>
      </c>
      <c r="J278" s="137" t="s">
        <v>51</v>
      </c>
    </row>
    <row r="279" spans="1:10" x14ac:dyDescent="0.3">
      <c r="A279" s="132" t="s">
        <v>300</v>
      </c>
      <c r="B279" s="201" t="s">
        <v>303</v>
      </c>
      <c r="C279" s="133" t="s">
        <v>47</v>
      </c>
      <c r="D279" s="133" t="s">
        <v>300</v>
      </c>
      <c r="E279" s="133">
        <v>1001023</v>
      </c>
      <c r="F279" s="143" t="str">
        <f t="shared" si="3"/>
        <v>KuwaitMLPSHHMN0240001</v>
      </c>
      <c r="G279" s="134" t="s">
        <v>277</v>
      </c>
      <c r="H279" s="134">
        <v>16220335</v>
      </c>
      <c r="I279" s="140" t="s">
        <v>278</v>
      </c>
      <c r="J279" s="137" t="s">
        <v>51</v>
      </c>
    </row>
    <row r="280" spans="1:10" x14ac:dyDescent="0.3">
      <c r="A280" s="132"/>
      <c r="B280" s="201"/>
      <c r="C280" s="133" t="s">
        <v>47</v>
      </c>
      <c r="D280" s="133" t="s">
        <v>300</v>
      </c>
      <c r="E280" s="133">
        <v>1001023</v>
      </c>
      <c r="F280" s="141" t="str">
        <f t="shared" si="3"/>
        <v>KuwaitMLPSHHMN0204201</v>
      </c>
      <c r="G280" s="134" t="s">
        <v>298</v>
      </c>
      <c r="H280" s="134">
        <v>16220916</v>
      </c>
      <c r="I280" s="140" t="s">
        <v>299</v>
      </c>
      <c r="J280" s="137" t="s">
        <v>51</v>
      </c>
    </row>
    <row r="281" spans="1:10" x14ac:dyDescent="0.3">
      <c r="A281" s="132" t="s">
        <v>300</v>
      </c>
      <c r="B281" s="201" t="s">
        <v>303</v>
      </c>
      <c r="C281" s="133" t="s">
        <v>47</v>
      </c>
      <c r="D281" s="133" t="s">
        <v>300</v>
      </c>
      <c r="E281" s="133">
        <v>1001023</v>
      </c>
      <c r="F281" s="141" t="str">
        <f t="shared" si="3"/>
        <v>KuwaitCRPRNUMN0125001</v>
      </c>
      <c r="G281" s="134" t="s">
        <v>220</v>
      </c>
      <c r="H281" s="134">
        <v>600154</v>
      </c>
      <c r="I281" s="140" t="s">
        <v>221</v>
      </c>
      <c r="J281" s="137" t="s">
        <v>170</v>
      </c>
    </row>
    <row r="282" spans="1:10" x14ac:dyDescent="0.3">
      <c r="A282" s="132" t="s">
        <v>300</v>
      </c>
      <c r="B282" s="201" t="s">
        <v>303</v>
      </c>
      <c r="C282" s="133" t="s">
        <v>47</v>
      </c>
      <c r="D282" s="133" t="s">
        <v>300</v>
      </c>
      <c r="E282" s="133">
        <v>1001023</v>
      </c>
      <c r="F282" s="141" t="str">
        <f t="shared" si="3"/>
        <v>KuwaitCRPRNUMN0225001</v>
      </c>
      <c r="G282" s="141" t="s">
        <v>222</v>
      </c>
      <c r="H282" s="133">
        <v>600151</v>
      </c>
      <c r="I282" s="139" t="s">
        <v>286</v>
      </c>
      <c r="J282" s="137" t="s">
        <v>170</v>
      </c>
    </row>
    <row r="283" spans="1:10" x14ac:dyDescent="0.3">
      <c r="A283" s="132" t="s">
        <v>300</v>
      </c>
      <c r="B283" s="201" t="s">
        <v>303</v>
      </c>
      <c r="C283" s="133" t="s">
        <v>47</v>
      </c>
      <c r="D283" s="133" t="s">
        <v>300</v>
      </c>
      <c r="E283" s="133">
        <v>1001023</v>
      </c>
      <c r="F283" s="141" t="str">
        <f t="shared" si="3"/>
        <v>KuwaitCRPRNUMN0325001</v>
      </c>
      <c r="G283" s="141" t="s">
        <v>224</v>
      </c>
      <c r="H283" s="133">
        <v>600152</v>
      </c>
      <c r="I283" s="139" t="s">
        <v>225</v>
      </c>
      <c r="J283" s="137" t="s">
        <v>170</v>
      </c>
    </row>
    <row r="284" spans="1:10" x14ac:dyDescent="0.3">
      <c r="A284" s="132" t="s">
        <v>300</v>
      </c>
      <c r="B284" s="201" t="s">
        <v>303</v>
      </c>
      <c r="C284" s="133" t="s">
        <v>47</v>
      </c>
      <c r="D284" s="133" t="s">
        <v>300</v>
      </c>
      <c r="E284" s="133">
        <v>1001023</v>
      </c>
      <c r="F284" s="133" t="str">
        <f t="shared" si="3"/>
        <v>KuwaitCRPRNUMN0425001</v>
      </c>
      <c r="G284" s="133" t="s">
        <v>226</v>
      </c>
      <c r="H284" s="133">
        <v>600150</v>
      </c>
      <c r="I284" s="139" t="s">
        <v>227</v>
      </c>
      <c r="J284" s="137" t="s">
        <v>170</v>
      </c>
    </row>
    <row r="285" spans="1:10" x14ac:dyDescent="0.3">
      <c r="A285" s="132" t="s">
        <v>300</v>
      </c>
      <c r="B285" s="201" t="s">
        <v>303</v>
      </c>
      <c r="C285" s="133" t="s">
        <v>47</v>
      </c>
      <c r="D285" s="133" t="s">
        <v>300</v>
      </c>
      <c r="E285" s="133">
        <v>1001023</v>
      </c>
      <c r="F285" s="133" t="str">
        <f t="shared" si="3"/>
        <v>KuwaitCRPRNUMN0525001</v>
      </c>
      <c r="G285" s="133" t="s">
        <v>228</v>
      </c>
      <c r="H285" s="133">
        <v>600185</v>
      </c>
      <c r="I285" s="139" t="s">
        <v>229</v>
      </c>
      <c r="J285" s="137" t="s">
        <v>170</v>
      </c>
    </row>
    <row r="286" spans="1:10" x14ac:dyDescent="0.3">
      <c r="A286" s="132" t="s">
        <v>300</v>
      </c>
      <c r="B286" s="201" t="s">
        <v>303</v>
      </c>
      <c r="C286" s="133" t="s">
        <v>47</v>
      </c>
      <c r="D286" s="133" t="s">
        <v>300</v>
      </c>
      <c r="E286" s="133">
        <v>1001023</v>
      </c>
      <c r="F286" s="133" t="str">
        <f t="shared" si="3"/>
        <v>KuwaitCRPRNUMN0625001</v>
      </c>
      <c r="G286" s="133" t="s">
        <v>230</v>
      </c>
      <c r="H286" s="133">
        <v>600184</v>
      </c>
      <c r="I286" s="139" t="s">
        <v>231</v>
      </c>
      <c r="J286" s="137" t="s">
        <v>170</v>
      </c>
    </row>
    <row r="287" spans="1:10" x14ac:dyDescent="0.3">
      <c r="A287" s="132" t="s">
        <v>300</v>
      </c>
      <c r="B287" s="201" t="s">
        <v>303</v>
      </c>
      <c r="C287" s="133" t="s">
        <v>47</v>
      </c>
      <c r="D287" s="133" t="s">
        <v>300</v>
      </c>
      <c r="E287" s="133">
        <v>1001023</v>
      </c>
      <c r="F287" s="141" t="str">
        <f t="shared" si="3"/>
        <v>KuwaitRFPUESMN0107003</v>
      </c>
      <c r="G287" s="141" t="s">
        <v>279</v>
      </c>
      <c r="H287" s="182">
        <v>1137171</v>
      </c>
      <c r="I287" s="140" t="s">
        <v>280</v>
      </c>
      <c r="J287" s="137" t="s">
        <v>281</v>
      </c>
    </row>
    <row r="288" spans="1:10" x14ac:dyDescent="0.3">
      <c r="A288" s="132"/>
      <c r="B288" s="201"/>
      <c r="C288" s="133" t="s">
        <v>47</v>
      </c>
      <c r="D288" s="133" t="s">
        <v>300</v>
      </c>
      <c r="E288" s="133">
        <v>1001023</v>
      </c>
      <c r="F288" s="133" t="str">
        <f t="shared" si="3"/>
        <v>KuwaitRFPUESMN1407001</v>
      </c>
      <c r="G288" s="133" t="s">
        <v>282</v>
      </c>
      <c r="H288" s="135">
        <v>1001171</v>
      </c>
      <c r="I288" s="136" t="s">
        <v>283</v>
      </c>
      <c r="J288" s="137" t="s">
        <v>281</v>
      </c>
    </row>
    <row r="289" spans="1:10" ht="15" thickBot="1" x14ac:dyDescent="0.35">
      <c r="A289" s="144" t="s">
        <v>300</v>
      </c>
      <c r="B289" s="202" t="s">
        <v>303</v>
      </c>
      <c r="C289" s="145" t="s">
        <v>47</v>
      </c>
      <c r="D289" s="145" t="s">
        <v>300</v>
      </c>
      <c r="E289" s="145">
        <v>1001023</v>
      </c>
      <c r="F289" s="183" t="str">
        <f t="shared" si="3"/>
        <v>KuwaitRFPRESMN1007002</v>
      </c>
      <c r="G289" s="183" t="s">
        <v>284</v>
      </c>
      <c r="H289" s="146">
        <v>10892</v>
      </c>
      <c r="I289" s="186" t="s">
        <v>285</v>
      </c>
      <c r="J289" s="148" t="s">
        <v>281</v>
      </c>
    </row>
    <row r="290" spans="1:10" x14ac:dyDescent="0.3">
      <c r="A290" s="127" t="s">
        <v>312</v>
      </c>
      <c r="B290" s="200" t="s">
        <v>313</v>
      </c>
      <c r="C290" s="128" t="s">
        <v>47</v>
      </c>
      <c r="D290" s="128" t="s">
        <v>312</v>
      </c>
      <c r="E290" s="128">
        <v>1000302</v>
      </c>
      <c r="F290" s="149" t="str">
        <f t="shared" si="3"/>
        <v>KSAMLPUDKMN0140001</v>
      </c>
      <c r="G290" s="159" t="s">
        <v>302</v>
      </c>
      <c r="H290" s="128">
        <v>71112</v>
      </c>
      <c r="I290" s="154" t="s">
        <v>76</v>
      </c>
      <c r="J290" s="131" t="s">
        <v>104</v>
      </c>
    </row>
    <row r="291" spans="1:10" x14ac:dyDescent="0.3">
      <c r="A291" s="132"/>
      <c r="B291" s="201"/>
      <c r="C291" s="133" t="s">
        <v>47</v>
      </c>
      <c r="D291" s="133" t="s">
        <v>312</v>
      </c>
      <c r="E291" s="133">
        <v>1000302</v>
      </c>
      <c r="F291" s="133" t="str">
        <f t="shared" ref="F291:F364" si="4">+_xlfn.CONCAT(D291,G291)</f>
        <v>KSAMLPUDKMN0180001</v>
      </c>
      <c r="G291" s="138" t="s">
        <v>314</v>
      </c>
      <c r="H291" s="133">
        <v>71108</v>
      </c>
      <c r="I291" s="136" t="s">
        <v>261</v>
      </c>
      <c r="J291" s="137" t="s">
        <v>104</v>
      </c>
    </row>
    <row r="292" spans="1:10" x14ac:dyDescent="0.3">
      <c r="A292" s="132" t="s">
        <v>312</v>
      </c>
      <c r="B292" s="201" t="s">
        <v>313</v>
      </c>
      <c r="C292" s="133" t="s">
        <v>47</v>
      </c>
      <c r="D292" s="133" t="s">
        <v>312</v>
      </c>
      <c r="E292" s="133">
        <v>1000302</v>
      </c>
      <c r="F292" s="153" t="str">
        <f t="shared" si="4"/>
        <v>KSAMLPUDKMN0240001</v>
      </c>
      <c r="G292" s="138" t="s">
        <v>304</v>
      </c>
      <c r="H292" s="133">
        <v>71113</v>
      </c>
      <c r="I292" s="139" t="s">
        <v>78</v>
      </c>
      <c r="J292" s="137" t="s">
        <v>104</v>
      </c>
    </row>
    <row r="293" spans="1:10" x14ac:dyDescent="0.3">
      <c r="A293" s="132"/>
      <c r="B293" s="201"/>
      <c r="C293" s="133" t="s">
        <v>47</v>
      </c>
      <c r="D293" s="133" t="s">
        <v>312</v>
      </c>
      <c r="E293" s="133">
        <v>1000302</v>
      </c>
      <c r="F293" s="143" t="str">
        <f t="shared" si="4"/>
        <v>KSAMLPUDKMN0280001</v>
      </c>
      <c r="G293" s="138" t="s">
        <v>315</v>
      </c>
      <c r="H293" s="133">
        <v>71109</v>
      </c>
      <c r="I293" s="136" t="s">
        <v>264</v>
      </c>
      <c r="J293" s="137" t="s">
        <v>104</v>
      </c>
    </row>
    <row r="294" spans="1:10" x14ac:dyDescent="0.3">
      <c r="A294" s="132" t="s">
        <v>312</v>
      </c>
      <c r="B294" s="201" t="s">
        <v>313</v>
      </c>
      <c r="C294" s="133" t="s">
        <v>47</v>
      </c>
      <c r="D294" s="133" t="s">
        <v>312</v>
      </c>
      <c r="E294" s="133">
        <v>1000302</v>
      </c>
      <c r="F294" s="153" t="str">
        <f t="shared" si="4"/>
        <v>KSAMLPUDKMN0340001</v>
      </c>
      <c r="G294" s="138" t="s">
        <v>305</v>
      </c>
      <c r="H294" s="133">
        <v>71114</v>
      </c>
      <c r="I294" s="139" t="s">
        <v>80</v>
      </c>
      <c r="J294" s="137" t="s">
        <v>104</v>
      </c>
    </row>
    <row r="295" spans="1:10" x14ac:dyDescent="0.3">
      <c r="A295" s="132"/>
      <c r="B295" s="201"/>
      <c r="C295" s="133" t="s">
        <v>47</v>
      </c>
      <c r="D295" s="133" t="s">
        <v>312</v>
      </c>
      <c r="E295" s="133">
        <v>1000302</v>
      </c>
      <c r="F295" s="143" t="str">
        <f t="shared" si="4"/>
        <v>KSAMLPUDKMN0380001</v>
      </c>
      <c r="G295" s="138" t="s">
        <v>316</v>
      </c>
      <c r="H295" s="133">
        <v>71110</v>
      </c>
      <c r="I295" s="136" t="s">
        <v>266</v>
      </c>
      <c r="J295" s="137" t="s">
        <v>104</v>
      </c>
    </row>
    <row r="296" spans="1:10" x14ac:dyDescent="0.3">
      <c r="A296" s="132"/>
      <c r="B296" s="201"/>
      <c r="C296" s="133" t="s">
        <v>47</v>
      </c>
      <c r="D296" s="133" t="s">
        <v>312</v>
      </c>
      <c r="E296" s="133">
        <v>1000302</v>
      </c>
      <c r="F296" s="153" t="str">
        <f t="shared" si="4"/>
        <v>KSAMLPUHHSA0140001</v>
      </c>
      <c r="G296" s="141" t="s">
        <v>317</v>
      </c>
      <c r="H296" s="141">
        <v>16245335</v>
      </c>
      <c r="I296" s="136" t="s">
        <v>318</v>
      </c>
      <c r="J296" s="137" t="s">
        <v>51</v>
      </c>
    </row>
    <row r="297" spans="1:10" x14ac:dyDescent="0.3">
      <c r="A297" s="132"/>
      <c r="B297" s="201"/>
      <c r="C297" s="133" t="s">
        <v>47</v>
      </c>
      <c r="D297" s="133" t="s">
        <v>312</v>
      </c>
      <c r="E297" s="133">
        <v>1000302</v>
      </c>
      <c r="F297" s="143" t="str">
        <f t="shared" si="4"/>
        <v>KSAMLPUHHSA0180001</v>
      </c>
      <c r="G297" s="141" t="s">
        <v>319</v>
      </c>
      <c r="H297" s="141">
        <v>16245341</v>
      </c>
      <c r="I297" s="136" t="s">
        <v>320</v>
      </c>
      <c r="J297" s="137" t="s">
        <v>51</v>
      </c>
    </row>
    <row r="298" spans="1:10" x14ac:dyDescent="0.3">
      <c r="A298" s="132"/>
      <c r="B298" s="201"/>
      <c r="C298" s="133" t="s">
        <v>47</v>
      </c>
      <c r="D298" s="133" t="s">
        <v>312</v>
      </c>
      <c r="E298" s="133">
        <v>1000302</v>
      </c>
      <c r="F298" s="153" t="str">
        <f t="shared" si="4"/>
        <v>KSAMLPUHHSA0240001</v>
      </c>
      <c r="G298" s="143" t="s">
        <v>321</v>
      </c>
      <c r="H298" s="141">
        <v>16246335</v>
      </c>
      <c r="I298" s="136" t="s">
        <v>322</v>
      </c>
      <c r="J298" s="137" t="s">
        <v>51</v>
      </c>
    </row>
    <row r="299" spans="1:10" x14ac:dyDescent="0.3">
      <c r="A299" s="132"/>
      <c r="B299" s="201"/>
      <c r="C299" s="133" t="s">
        <v>47</v>
      </c>
      <c r="D299" s="133" t="s">
        <v>312</v>
      </c>
      <c r="E299" s="133">
        <v>1000302</v>
      </c>
      <c r="F299" s="143" t="str">
        <f t="shared" si="4"/>
        <v>KSAMLPUHHSA0280001</v>
      </c>
      <c r="G299" s="143" t="s">
        <v>323</v>
      </c>
      <c r="H299" s="141">
        <v>16246341</v>
      </c>
      <c r="I299" s="136" t="s">
        <v>324</v>
      </c>
      <c r="J299" s="137" t="s">
        <v>51</v>
      </c>
    </row>
    <row r="300" spans="1:10" x14ac:dyDescent="0.3">
      <c r="A300" s="132"/>
      <c r="B300" s="201"/>
      <c r="C300" s="133" t="s">
        <v>47</v>
      </c>
      <c r="D300" s="133" t="s">
        <v>312</v>
      </c>
      <c r="E300" s="133">
        <v>1000302</v>
      </c>
      <c r="F300" s="153" t="str">
        <f t="shared" si="4"/>
        <v>KSAMLPUHHSA0340001</v>
      </c>
      <c r="G300" s="141" t="s">
        <v>325</v>
      </c>
      <c r="H300" s="141">
        <v>16247335</v>
      </c>
      <c r="I300" s="136" t="s">
        <v>326</v>
      </c>
      <c r="J300" s="137" t="s">
        <v>51</v>
      </c>
    </row>
    <row r="301" spans="1:10" x14ac:dyDescent="0.3">
      <c r="A301" s="132"/>
      <c r="B301" s="201"/>
      <c r="C301" s="133" t="s">
        <v>47</v>
      </c>
      <c r="D301" s="133" t="s">
        <v>312</v>
      </c>
      <c r="E301" s="133">
        <v>1000302</v>
      </c>
      <c r="F301" s="143" t="str">
        <f t="shared" si="4"/>
        <v>KSAMLPUHHSA0380001</v>
      </c>
      <c r="G301" s="141" t="s">
        <v>327</v>
      </c>
      <c r="H301" s="141">
        <v>16247341</v>
      </c>
      <c r="I301" s="136" t="s">
        <v>328</v>
      </c>
      <c r="J301" s="137" t="s">
        <v>51</v>
      </c>
    </row>
    <row r="302" spans="1:10" x14ac:dyDescent="0.3">
      <c r="A302" s="132"/>
      <c r="B302" s="201"/>
      <c r="C302" s="133" t="s">
        <v>47</v>
      </c>
      <c r="D302" s="133" t="s">
        <v>312</v>
      </c>
      <c r="E302" s="133">
        <v>1000302</v>
      </c>
      <c r="F302" s="141" t="str">
        <f t="shared" si="4"/>
        <v>KSAMLPUDKMN1240001</v>
      </c>
      <c r="G302" s="138" t="s">
        <v>329</v>
      </c>
      <c r="H302" s="133">
        <v>71329</v>
      </c>
      <c r="I302" s="136" t="s">
        <v>330</v>
      </c>
      <c r="J302" s="137" t="s">
        <v>104</v>
      </c>
    </row>
    <row r="303" spans="1:10" x14ac:dyDescent="0.3">
      <c r="A303" s="132"/>
      <c r="B303" s="201"/>
      <c r="C303" s="133" t="s">
        <v>47</v>
      </c>
      <c r="D303" s="133" t="s">
        <v>312</v>
      </c>
      <c r="E303" s="133">
        <v>1000302</v>
      </c>
      <c r="F303" s="141" t="str">
        <f t="shared" si="4"/>
        <v>KSAMLPUDKMN1280001</v>
      </c>
      <c r="G303" s="138" t="s">
        <v>331</v>
      </c>
      <c r="H303" s="133">
        <v>71330</v>
      </c>
      <c r="I303" s="136" t="s">
        <v>332</v>
      </c>
      <c r="J303" s="137" t="s">
        <v>104</v>
      </c>
    </row>
    <row r="304" spans="1:10" x14ac:dyDescent="0.3">
      <c r="A304" s="132" t="s">
        <v>312</v>
      </c>
      <c r="B304" s="201" t="s">
        <v>313</v>
      </c>
      <c r="C304" s="133" t="s">
        <v>47</v>
      </c>
      <c r="D304" s="133" t="s">
        <v>312</v>
      </c>
      <c r="E304" s="133">
        <v>1000302</v>
      </c>
      <c r="F304" s="141" t="str">
        <f t="shared" si="4"/>
        <v>KSAMLPUHHSA0440001</v>
      </c>
      <c r="G304" s="141" t="s">
        <v>267</v>
      </c>
      <c r="H304" s="133">
        <v>16248335</v>
      </c>
      <c r="I304" s="139" t="s">
        <v>268</v>
      </c>
      <c r="J304" s="137" t="s">
        <v>51</v>
      </c>
    </row>
    <row r="305" spans="1:10" x14ac:dyDescent="0.3">
      <c r="A305" s="132"/>
      <c r="B305" s="201"/>
      <c r="C305" s="133" t="s">
        <v>47</v>
      </c>
      <c r="D305" s="133" t="s">
        <v>312</v>
      </c>
      <c r="E305" s="133">
        <v>1000302</v>
      </c>
      <c r="F305" s="141" t="str">
        <f t="shared" si="4"/>
        <v>KSAMLPUHHSA0480001</v>
      </c>
      <c r="G305" s="133" t="s">
        <v>269</v>
      </c>
      <c r="H305" s="135">
        <v>16248341</v>
      </c>
      <c r="I305" s="136" t="s">
        <v>270</v>
      </c>
      <c r="J305" s="137" t="s">
        <v>51</v>
      </c>
    </row>
    <row r="306" spans="1:10" x14ac:dyDescent="0.3">
      <c r="A306" s="132"/>
      <c r="B306" s="201"/>
      <c r="C306" s="133" t="s">
        <v>47</v>
      </c>
      <c r="D306" s="133" t="s">
        <v>312</v>
      </c>
      <c r="E306" s="133">
        <v>1000302</v>
      </c>
      <c r="F306" s="141" t="str">
        <f t="shared" si="4"/>
        <v>KSAMLPUHHSA0540001</v>
      </c>
      <c r="G306" s="138" t="s">
        <v>306</v>
      </c>
      <c r="H306" s="135">
        <v>16712335</v>
      </c>
      <c r="I306" s="181" t="s">
        <v>307</v>
      </c>
      <c r="J306" s="137" t="s">
        <v>51</v>
      </c>
    </row>
    <row r="307" spans="1:10" x14ac:dyDescent="0.3">
      <c r="A307" s="132"/>
      <c r="B307" s="201"/>
      <c r="C307" s="133" t="s">
        <v>47</v>
      </c>
      <c r="D307" s="133" t="s">
        <v>312</v>
      </c>
      <c r="E307" s="133">
        <v>1000302</v>
      </c>
      <c r="F307" s="133" t="str">
        <f t="shared" si="4"/>
        <v>KSAMLPUHHMN0840001</v>
      </c>
      <c r="G307" s="134" t="s">
        <v>271</v>
      </c>
      <c r="H307" s="134">
        <v>16668335</v>
      </c>
      <c r="I307" s="140" t="s">
        <v>272</v>
      </c>
      <c r="J307" s="137" t="s">
        <v>51</v>
      </c>
    </row>
    <row r="308" spans="1:10" x14ac:dyDescent="0.3">
      <c r="A308" s="132"/>
      <c r="B308" s="201"/>
      <c r="C308" s="133" t="s">
        <v>47</v>
      </c>
      <c r="D308" s="133" t="s">
        <v>312</v>
      </c>
      <c r="E308" s="133">
        <v>1000302</v>
      </c>
      <c r="F308" s="141" t="str">
        <f t="shared" si="4"/>
        <v>KSAMLPUHHMN0840002</v>
      </c>
      <c r="G308" s="134" t="s">
        <v>333</v>
      </c>
      <c r="H308" s="134">
        <v>16488335</v>
      </c>
      <c r="I308" s="140" t="s">
        <v>309</v>
      </c>
      <c r="J308" s="137" t="s">
        <v>51</v>
      </c>
    </row>
    <row r="309" spans="1:10" x14ac:dyDescent="0.3">
      <c r="A309" s="132"/>
      <c r="B309" s="201"/>
      <c r="C309" s="133" t="s">
        <v>47</v>
      </c>
      <c r="D309" s="133" t="s">
        <v>312</v>
      </c>
      <c r="E309" s="133">
        <v>1000302</v>
      </c>
      <c r="F309" s="133" t="str">
        <f t="shared" si="4"/>
        <v>KSAMLPUHHSA1140001</v>
      </c>
      <c r="G309" s="133" t="s">
        <v>310</v>
      </c>
      <c r="H309" s="142">
        <v>16314335</v>
      </c>
      <c r="I309" s="151" t="s">
        <v>311</v>
      </c>
      <c r="J309" s="137" t="s">
        <v>51</v>
      </c>
    </row>
    <row r="310" spans="1:10" x14ac:dyDescent="0.3">
      <c r="A310" s="132"/>
      <c r="B310" s="201"/>
      <c r="C310" s="133" t="s">
        <v>47</v>
      </c>
      <c r="D310" s="133" t="s">
        <v>312</v>
      </c>
      <c r="E310" s="133">
        <v>1000302</v>
      </c>
      <c r="F310" s="141" t="str">
        <f t="shared" si="4"/>
        <v>KSAMLPUHHMN1440001</v>
      </c>
      <c r="G310" s="133" t="s">
        <v>256</v>
      </c>
      <c r="H310" s="143">
        <v>16335335</v>
      </c>
      <c r="I310" s="152" t="s">
        <v>334</v>
      </c>
      <c r="J310" s="137" t="s">
        <v>51</v>
      </c>
    </row>
    <row r="311" spans="1:10" x14ac:dyDescent="0.3">
      <c r="A311" s="132"/>
      <c r="B311" s="201"/>
      <c r="C311" s="133" t="s">
        <v>47</v>
      </c>
      <c r="D311" s="133" t="s">
        <v>312</v>
      </c>
      <c r="E311" s="133">
        <v>1000302</v>
      </c>
      <c r="F311" s="141" t="str">
        <f t="shared" si="4"/>
        <v>KSAMLPUFCMN1540001</v>
      </c>
      <c r="G311" s="153" t="s">
        <v>296</v>
      </c>
      <c r="H311" s="141">
        <v>420400</v>
      </c>
      <c r="I311" s="136" t="s">
        <v>297</v>
      </c>
      <c r="J311" s="137" t="s">
        <v>66</v>
      </c>
    </row>
    <row r="312" spans="1:10" x14ac:dyDescent="0.3">
      <c r="A312" s="132"/>
      <c r="B312" s="201"/>
      <c r="C312" s="133" t="s">
        <v>47</v>
      </c>
      <c r="D312" s="133" t="s">
        <v>312</v>
      </c>
      <c r="E312" s="133">
        <v>1000302</v>
      </c>
      <c r="F312" s="141" t="str">
        <f t="shared" si="4"/>
        <v>KSAMLPUFCMN1540002</v>
      </c>
      <c r="G312" s="153" t="s">
        <v>273</v>
      </c>
      <c r="H312" s="141">
        <v>420744</v>
      </c>
      <c r="I312" s="152" t="s">
        <v>274</v>
      </c>
      <c r="J312" s="137" t="s">
        <v>66</v>
      </c>
    </row>
    <row r="313" spans="1:10" x14ac:dyDescent="0.3">
      <c r="A313" s="132" t="s">
        <v>312</v>
      </c>
      <c r="B313" s="201" t="s">
        <v>313</v>
      </c>
      <c r="C313" s="133" t="s">
        <v>47</v>
      </c>
      <c r="D313" s="133" t="s">
        <v>312</v>
      </c>
      <c r="E313" s="133">
        <v>1000302</v>
      </c>
      <c r="F313" s="141" t="str">
        <f t="shared" si="4"/>
        <v>KSAMLPSHHMN0140001</v>
      </c>
      <c r="G313" s="142" t="s">
        <v>275</v>
      </c>
      <c r="H313" s="141">
        <v>16221335</v>
      </c>
      <c r="I313" s="136" t="s">
        <v>276</v>
      </c>
      <c r="J313" s="137" t="s">
        <v>51</v>
      </c>
    </row>
    <row r="314" spans="1:10" x14ac:dyDescent="0.3">
      <c r="A314" s="132"/>
      <c r="B314" s="201"/>
      <c r="C314" s="133" t="s">
        <v>47</v>
      </c>
      <c r="D314" s="133" t="s">
        <v>312</v>
      </c>
      <c r="E314" s="133">
        <v>1000302</v>
      </c>
      <c r="F314" s="141" t="str">
        <f t="shared" si="4"/>
        <v>KSAMLPSHHMN0240001</v>
      </c>
      <c r="G314" s="143" t="s">
        <v>277</v>
      </c>
      <c r="H314" s="141">
        <v>16220335</v>
      </c>
      <c r="I314" s="136" t="s">
        <v>278</v>
      </c>
      <c r="J314" s="137" t="s">
        <v>51</v>
      </c>
    </row>
    <row r="315" spans="1:10" x14ac:dyDescent="0.3">
      <c r="A315" s="132"/>
      <c r="B315" s="201"/>
      <c r="C315" s="133" t="s">
        <v>47</v>
      </c>
      <c r="D315" s="133" t="s">
        <v>312</v>
      </c>
      <c r="E315" s="133">
        <v>1000302</v>
      </c>
      <c r="F315" s="141" t="str">
        <f t="shared" si="4"/>
        <v xml:space="preserve">KSAMLPUHHSA0302801 </v>
      </c>
      <c r="G315" s="141" t="s">
        <v>335</v>
      </c>
      <c r="H315" s="141">
        <v>16247913</v>
      </c>
      <c r="I315" s="136" t="s">
        <v>336</v>
      </c>
      <c r="J315" s="137" t="s">
        <v>51</v>
      </c>
    </row>
    <row r="316" spans="1:10" x14ac:dyDescent="0.3">
      <c r="A316" s="132" t="s">
        <v>312</v>
      </c>
      <c r="B316" s="201" t="s">
        <v>313</v>
      </c>
      <c r="C316" s="133" t="s">
        <v>101</v>
      </c>
      <c r="D316" s="133" t="s">
        <v>312</v>
      </c>
      <c r="E316" s="133">
        <v>1000302</v>
      </c>
      <c r="F316" s="141" t="str">
        <f t="shared" si="4"/>
        <v>KSAMLNUHHSA1640001</v>
      </c>
      <c r="G316" s="141" t="s">
        <v>123</v>
      </c>
      <c r="H316" s="133">
        <v>16408305</v>
      </c>
      <c r="I316" s="139" t="s">
        <v>124</v>
      </c>
      <c r="J316" s="137" t="s">
        <v>51</v>
      </c>
    </row>
    <row r="317" spans="1:10" x14ac:dyDescent="0.3">
      <c r="A317" s="132" t="s">
        <v>312</v>
      </c>
      <c r="B317" s="201" t="s">
        <v>313</v>
      </c>
      <c r="C317" s="133" t="s">
        <v>101</v>
      </c>
      <c r="D317" s="133" t="s">
        <v>312</v>
      </c>
      <c r="E317" s="133">
        <v>1000302</v>
      </c>
      <c r="F317" s="141" t="str">
        <f t="shared" si="4"/>
        <v>KSAMLNUHHSA1740001</v>
      </c>
      <c r="G317" s="141" t="s">
        <v>125</v>
      </c>
      <c r="H317" s="133">
        <v>16409305</v>
      </c>
      <c r="I317" s="139" t="s">
        <v>126</v>
      </c>
      <c r="J317" s="137" t="s">
        <v>51</v>
      </c>
    </row>
    <row r="318" spans="1:10" x14ac:dyDescent="0.3">
      <c r="A318" s="132"/>
      <c r="B318" s="201"/>
      <c r="C318" s="133" t="s">
        <v>101</v>
      </c>
      <c r="D318" s="133" t="s">
        <v>312</v>
      </c>
      <c r="E318" s="133">
        <v>1000303</v>
      </c>
      <c r="F318" s="141" t="str">
        <f t="shared" si="4"/>
        <v>KSAMLNUDKME0140001</v>
      </c>
      <c r="G318" s="153" t="s">
        <v>337</v>
      </c>
      <c r="H318" s="141">
        <v>71269</v>
      </c>
      <c r="I318" s="152" t="s">
        <v>338</v>
      </c>
      <c r="J318" s="137" t="s">
        <v>104</v>
      </c>
    </row>
    <row r="319" spans="1:10" x14ac:dyDescent="0.3">
      <c r="A319" s="132"/>
      <c r="B319" s="201"/>
      <c r="C319" s="133" t="s">
        <v>101</v>
      </c>
      <c r="D319" s="133" t="s">
        <v>312</v>
      </c>
      <c r="E319" s="133">
        <v>1000304</v>
      </c>
      <c r="F319" s="141" t="str">
        <f t="shared" si="4"/>
        <v>KSAMLNUDKME0190001</v>
      </c>
      <c r="G319" s="142" t="s">
        <v>339</v>
      </c>
      <c r="H319" s="141">
        <v>71272</v>
      </c>
      <c r="I319" s="152" t="s">
        <v>340</v>
      </c>
      <c r="J319" s="137" t="s">
        <v>104</v>
      </c>
    </row>
    <row r="320" spans="1:10" x14ac:dyDescent="0.3">
      <c r="A320" s="132"/>
      <c r="B320" s="201"/>
      <c r="C320" s="133" t="s">
        <v>101</v>
      </c>
      <c r="D320" s="133" t="s">
        <v>312</v>
      </c>
      <c r="E320" s="133">
        <v>1000305</v>
      </c>
      <c r="F320" s="141" t="str">
        <f t="shared" si="4"/>
        <v>KSAMLNUDKME0240001</v>
      </c>
      <c r="G320" s="143" t="s">
        <v>341</v>
      </c>
      <c r="H320" s="141">
        <v>71270</v>
      </c>
      <c r="I320" s="136" t="s">
        <v>342</v>
      </c>
      <c r="J320" s="137" t="s">
        <v>104</v>
      </c>
    </row>
    <row r="321" spans="1:10" x14ac:dyDescent="0.3">
      <c r="A321" s="132"/>
      <c r="B321" s="201"/>
      <c r="C321" s="133" t="s">
        <v>101</v>
      </c>
      <c r="D321" s="133" t="s">
        <v>312</v>
      </c>
      <c r="E321" s="133">
        <v>1000306</v>
      </c>
      <c r="F321" s="141" t="str">
        <f t="shared" si="4"/>
        <v>KSAMLNUDKME0290001</v>
      </c>
      <c r="G321" s="141" t="s">
        <v>343</v>
      </c>
      <c r="H321" s="141">
        <v>71273</v>
      </c>
      <c r="I321" s="152" t="s">
        <v>344</v>
      </c>
      <c r="J321" s="137" t="s">
        <v>104</v>
      </c>
    </row>
    <row r="322" spans="1:10" x14ac:dyDescent="0.3">
      <c r="A322" s="132"/>
      <c r="B322" s="201"/>
      <c r="C322" s="133" t="s">
        <v>101</v>
      </c>
      <c r="D322" s="133" t="s">
        <v>312</v>
      </c>
      <c r="E322" s="133">
        <v>1000307</v>
      </c>
      <c r="F322" s="141" t="str">
        <f t="shared" si="4"/>
        <v>KSAMLNUDKME0340001</v>
      </c>
      <c r="G322" s="141" t="s">
        <v>345</v>
      </c>
      <c r="H322" s="133">
        <v>71271</v>
      </c>
      <c r="I322" s="139" t="s">
        <v>346</v>
      </c>
      <c r="J322" s="137" t="s">
        <v>104</v>
      </c>
    </row>
    <row r="323" spans="1:10" x14ac:dyDescent="0.3">
      <c r="A323" s="132"/>
      <c r="B323" s="201"/>
      <c r="C323" s="133" t="s">
        <v>101</v>
      </c>
      <c r="D323" s="133" t="s">
        <v>312</v>
      </c>
      <c r="E323" s="133">
        <v>1000308</v>
      </c>
      <c r="F323" s="141" t="str">
        <f t="shared" si="4"/>
        <v>KSAMLNUDKME0390001</v>
      </c>
      <c r="G323" s="153" t="s">
        <v>347</v>
      </c>
      <c r="H323" s="141">
        <v>71274</v>
      </c>
      <c r="I323" s="152" t="s">
        <v>348</v>
      </c>
      <c r="J323" s="137" t="s">
        <v>104</v>
      </c>
    </row>
    <row r="324" spans="1:10" x14ac:dyDescent="0.3">
      <c r="A324" s="132"/>
      <c r="B324" s="201"/>
      <c r="C324" s="133" t="s">
        <v>101</v>
      </c>
      <c r="D324" s="133" t="s">
        <v>312</v>
      </c>
      <c r="E324" s="133">
        <v>1000309</v>
      </c>
      <c r="F324" s="141" t="str">
        <f t="shared" si="4"/>
        <v>KSAMLNUHHSA0540001</v>
      </c>
      <c r="G324" s="142" t="s">
        <v>349</v>
      </c>
      <c r="H324" s="141">
        <v>16610305</v>
      </c>
      <c r="I324" s="136" t="s">
        <v>350</v>
      </c>
      <c r="J324" s="137" t="s">
        <v>51</v>
      </c>
    </row>
    <row r="325" spans="1:10" x14ac:dyDescent="0.3">
      <c r="A325" s="132" t="s">
        <v>312</v>
      </c>
      <c r="B325" s="201" t="s">
        <v>313</v>
      </c>
      <c r="C325" s="133" t="s">
        <v>101</v>
      </c>
      <c r="D325" s="133" t="s">
        <v>312</v>
      </c>
      <c r="E325" s="133">
        <v>1000304</v>
      </c>
      <c r="F325" s="133" t="str">
        <f t="shared" si="4"/>
        <v>KSAMLNUHHSA0440002</v>
      </c>
      <c r="G325" s="142" t="s">
        <v>351</v>
      </c>
      <c r="H325" s="141">
        <v>16595305</v>
      </c>
      <c r="I325" s="136" t="s">
        <v>352</v>
      </c>
      <c r="J325" s="137" t="s">
        <v>51</v>
      </c>
    </row>
    <row r="326" spans="1:10" x14ac:dyDescent="0.3">
      <c r="A326" s="132" t="s">
        <v>312</v>
      </c>
      <c r="B326" s="201" t="s">
        <v>313</v>
      </c>
      <c r="C326" s="133" t="s">
        <v>101</v>
      </c>
      <c r="D326" s="133" t="s">
        <v>312</v>
      </c>
      <c r="E326" s="133">
        <v>1000302</v>
      </c>
      <c r="F326" s="133" t="str">
        <f t="shared" si="4"/>
        <v>KSAMLNUHHSA1140002</v>
      </c>
      <c r="G326" s="143" t="s">
        <v>353</v>
      </c>
      <c r="H326" s="141">
        <v>16513305</v>
      </c>
      <c r="I326" s="136" t="s">
        <v>354</v>
      </c>
      <c r="J326" s="137" t="s">
        <v>51</v>
      </c>
    </row>
    <row r="327" spans="1:10" x14ac:dyDescent="0.3">
      <c r="A327" s="132"/>
      <c r="B327" s="201"/>
      <c r="C327" s="133" t="s">
        <v>101</v>
      </c>
      <c r="D327" s="133" t="s">
        <v>312</v>
      </c>
      <c r="E327" s="133">
        <v>1000302</v>
      </c>
      <c r="F327" s="133" t="str">
        <f t="shared" si="4"/>
        <v>KSAMLNUHHSA0840001</v>
      </c>
      <c r="G327" s="133" t="s">
        <v>355</v>
      </c>
      <c r="H327" s="135">
        <v>16670305</v>
      </c>
      <c r="I327" s="136" t="s">
        <v>356</v>
      </c>
      <c r="J327" s="137" t="s">
        <v>51</v>
      </c>
    </row>
    <row r="328" spans="1:10" x14ac:dyDescent="0.3">
      <c r="A328" s="132"/>
      <c r="B328" s="201"/>
      <c r="C328" s="133" t="s">
        <v>47</v>
      </c>
      <c r="D328" s="133" t="s">
        <v>312</v>
      </c>
      <c r="E328" s="133">
        <v>1000302</v>
      </c>
      <c r="F328" s="153" t="str">
        <f t="shared" si="4"/>
        <v>KSARFPUESMN0107003</v>
      </c>
      <c r="G328" s="153" t="s">
        <v>279</v>
      </c>
      <c r="H328" s="135">
        <v>1137171</v>
      </c>
      <c r="I328" s="139" t="s">
        <v>280</v>
      </c>
      <c r="J328" s="137" t="s">
        <v>281</v>
      </c>
    </row>
    <row r="329" spans="1:10" x14ac:dyDescent="0.3">
      <c r="A329" s="132"/>
      <c r="B329" s="201"/>
      <c r="C329" s="133" t="s">
        <v>47</v>
      </c>
      <c r="D329" s="133" t="s">
        <v>312</v>
      </c>
      <c r="E329" s="133">
        <v>1000302</v>
      </c>
      <c r="F329" s="143" t="str">
        <f t="shared" si="4"/>
        <v>KSARFPUESMN1407001</v>
      </c>
      <c r="G329" s="143" t="s">
        <v>282</v>
      </c>
      <c r="H329" s="133">
        <v>1001171</v>
      </c>
      <c r="I329" s="139" t="s">
        <v>283</v>
      </c>
      <c r="J329" s="137" t="s">
        <v>281</v>
      </c>
    </row>
    <row r="330" spans="1:10" ht="15" thickBot="1" x14ac:dyDescent="0.35">
      <c r="A330" s="144" t="s">
        <v>312</v>
      </c>
      <c r="B330" s="202" t="s">
        <v>313</v>
      </c>
      <c r="C330" s="145" t="s">
        <v>47</v>
      </c>
      <c r="D330" s="145" t="s">
        <v>312</v>
      </c>
      <c r="E330" s="145">
        <v>1000302</v>
      </c>
      <c r="F330" s="157" t="str">
        <f t="shared" si="4"/>
        <v>KSARFPRESMN1007002</v>
      </c>
      <c r="G330" s="157" t="s">
        <v>284</v>
      </c>
      <c r="H330" s="145">
        <v>10892</v>
      </c>
      <c r="I330" s="186" t="s">
        <v>285</v>
      </c>
      <c r="J330" s="148" t="s">
        <v>281</v>
      </c>
    </row>
    <row r="331" spans="1:10" x14ac:dyDescent="0.3">
      <c r="A331" s="127" t="s">
        <v>312</v>
      </c>
      <c r="B331" s="200" t="s">
        <v>357</v>
      </c>
      <c r="C331" s="187" t="s">
        <v>101</v>
      </c>
      <c r="D331" s="128" t="s">
        <v>312</v>
      </c>
      <c r="E331" s="128">
        <v>1000092</v>
      </c>
      <c r="F331" s="159" t="str">
        <f t="shared" si="4"/>
        <v>KSAMLSWHHMN1140002</v>
      </c>
      <c r="G331" s="159" t="s">
        <v>358</v>
      </c>
      <c r="H331" s="128">
        <v>16573305</v>
      </c>
      <c r="I331" s="154" t="s">
        <v>359</v>
      </c>
      <c r="J331" s="131" t="s">
        <v>51</v>
      </c>
    </row>
    <row r="332" spans="1:10" x14ac:dyDescent="0.3">
      <c r="A332" s="132"/>
      <c r="B332" s="210"/>
      <c r="C332" s="188" t="s">
        <v>101</v>
      </c>
      <c r="D332" s="133" t="s">
        <v>312</v>
      </c>
      <c r="E332" s="133">
        <v>1000092</v>
      </c>
      <c r="F332" s="138" t="str">
        <f t="shared" si="4"/>
        <v>KSAMLSWHHMN0540001</v>
      </c>
      <c r="G332" s="138" t="s">
        <v>145</v>
      </c>
      <c r="H332" s="133">
        <v>16612305</v>
      </c>
      <c r="I332" s="139" t="s">
        <v>146</v>
      </c>
      <c r="J332" s="137" t="s">
        <v>51</v>
      </c>
    </row>
    <row r="333" spans="1:10" x14ac:dyDescent="0.3">
      <c r="A333" s="132"/>
      <c r="B333" s="210"/>
      <c r="C333" s="188" t="s">
        <v>101</v>
      </c>
      <c r="D333" s="133" t="s">
        <v>312</v>
      </c>
      <c r="E333" s="133">
        <v>1000092</v>
      </c>
      <c r="F333" s="133" t="str">
        <f t="shared" si="4"/>
        <v>KSAMLSWHHSA0840001</v>
      </c>
      <c r="G333" s="138" t="s">
        <v>360</v>
      </c>
      <c r="H333" s="133">
        <v>16578305</v>
      </c>
      <c r="I333" s="139" t="s">
        <v>361</v>
      </c>
      <c r="J333" s="137" t="s">
        <v>51</v>
      </c>
    </row>
    <row r="334" spans="1:10" x14ac:dyDescent="0.3">
      <c r="A334" s="132"/>
      <c r="B334" s="210"/>
      <c r="C334" s="188" t="s">
        <v>101</v>
      </c>
      <c r="D334" s="133" t="s">
        <v>312</v>
      </c>
      <c r="E334" s="133">
        <v>1000092</v>
      </c>
      <c r="F334" s="138" t="str">
        <f t="shared" si="4"/>
        <v>KSAMLSWHHSA0840002</v>
      </c>
      <c r="G334" s="138" t="s">
        <v>362</v>
      </c>
      <c r="H334" s="133">
        <v>16667305</v>
      </c>
      <c r="I334" s="140" t="s">
        <v>361</v>
      </c>
      <c r="J334" s="137" t="s">
        <v>51</v>
      </c>
    </row>
    <row r="335" spans="1:10" x14ac:dyDescent="0.3">
      <c r="A335" s="132"/>
      <c r="B335" s="210"/>
      <c r="C335" s="188" t="s">
        <v>101</v>
      </c>
      <c r="D335" s="133" t="s">
        <v>312</v>
      </c>
      <c r="E335" s="133">
        <v>1000092</v>
      </c>
      <c r="F335" s="133" t="str">
        <f t="shared" si="4"/>
        <v>KSAMLSWHHSA0440002</v>
      </c>
      <c r="G335" s="138" t="s">
        <v>363</v>
      </c>
      <c r="H335" s="133">
        <v>16596305</v>
      </c>
      <c r="I335" s="139" t="s">
        <v>364</v>
      </c>
      <c r="J335" s="137" t="s">
        <v>51</v>
      </c>
    </row>
    <row r="336" spans="1:10" x14ac:dyDescent="0.3">
      <c r="A336" s="132"/>
      <c r="B336" s="210"/>
      <c r="C336" s="188" t="s">
        <v>101</v>
      </c>
      <c r="D336" s="133" t="s">
        <v>312</v>
      </c>
      <c r="E336" s="133">
        <v>1000092</v>
      </c>
      <c r="F336" s="138" t="str">
        <f t="shared" si="4"/>
        <v>KSAMLSWFCMN0140001</v>
      </c>
      <c r="G336" s="138" t="s">
        <v>365</v>
      </c>
      <c r="H336" s="133">
        <v>420292</v>
      </c>
      <c r="I336" s="140" t="s">
        <v>366</v>
      </c>
      <c r="J336" s="137" t="s">
        <v>66</v>
      </c>
    </row>
    <row r="337" spans="1:10" x14ac:dyDescent="0.3">
      <c r="A337" s="132"/>
      <c r="B337" s="210"/>
      <c r="C337" s="188" t="s">
        <v>101</v>
      </c>
      <c r="D337" s="133" t="s">
        <v>312</v>
      </c>
      <c r="E337" s="133">
        <v>1000092</v>
      </c>
      <c r="F337" s="133" t="str">
        <f t="shared" si="4"/>
        <v>KSAMLSWFCMN0240001</v>
      </c>
      <c r="G337" s="138" t="s">
        <v>367</v>
      </c>
      <c r="H337" s="133">
        <v>420293</v>
      </c>
      <c r="I337" s="139" t="s">
        <v>368</v>
      </c>
      <c r="J337" s="137" t="s">
        <v>66</v>
      </c>
    </row>
    <row r="338" spans="1:10" x14ac:dyDescent="0.3">
      <c r="A338" s="132"/>
      <c r="B338" s="210"/>
      <c r="C338" s="188" t="s">
        <v>101</v>
      </c>
      <c r="D338" s="133" t="s">
        <v>312</v>
      </c>
      <c r="E338" s="133">
        <v>1000092</v>
      </c>
      <c r="F338" s="138" t="str">
        <f t="shared" si="4"/>
        <v>KSAMLSWFCMN0340001</v>
      </c>
      <c r="G338" s="138" t="s">
        <v>369</v>
      </c>
      <c r="H338" s="133">
        <v>420294</v>
      </c>
      <c r="I338" s="140" t="s">
        <v>370</v>
      </c>
      <c r="J338" s="137" t="s">
        <v>66</v>
      </c>
    </row>
    <row r="339" spans="1:10" x14ac:dyDescent="0.3">
      <c r="A339" s="132"/>
      <c r="B339" s="210"/>
      <c r="C339" s="188" t="s">
        <v>101</v>
      </c>
      <c r="D339" s="133" t="s">
        <v>312</v>
      </c>
      <c r="E339" s="133">
        <v>1000092</v>
      </c>
      <c r="F339" s="138" t="str">
        <f t="shared" si="4"/>
        <v>KSAMLSWFCMN0190001</v>
      </c>
      <c r="G339" s="138" t="s">
        <v>371</v>
      </c>
      <c r="H339" s="133">
        <v>420543</v>
      </c>
      <c r="I339" s="139" t="s">
        <v>372</v>
      </c>
      <c r="J339" s="137" t="s">
        <v>66</v>
      </c>
    </row>
    <row r="340" spans="1:10" x14ac:dyDescent="0.3">
      <c r="A340" s="132"/>
      <c r="B340" s="210"/>
      <c r="C340" s="188" t="s">
        <v>101</v>
      </c>
      <c r="D340" s="133" t="s">
        <v>312</v>
      </c>
      <c r="E340" s="133">
        <v>1000092</v>
      </c>
      <c r="F340" s="138" t="str">
        <f t="shared" si="4"/>
        <v>KSAMLSWFCMN0290001</v>
      </c>
      <c r="G340" s="138" t="s">
        <v>373</v>
      </c>
      <c r="H340" s="133">
        <v>420544</v>
      </c>
      <c r="I340" s="140" t="s">
        <v>374</v>
      </c>
      <c r="J340" s="137" t="s">
        <v>66</v>
      </c>
    </row>
    <row r="341" spans="1:10" x14ac:dyDescent="0.3">
      <c r="A341" s="132"/>
      <c r="B341" s="210"/>
      <c r="C341" s="188" t="s">
        <v>101</v>
      </c>
      <c r="D341" s="133" t="s">
        <v>312</v>
      </c>
      <c r="E341" s="133">
        <v>1000092</v>
      </c>
      <c r="F341" s="138" t="str">
        <f t="shared" si="4"/>
        <v>KSAMLSWFCMN0390001</v>
      </c>
      <c r="G341" s="138" t="s">
        <v>375</v>
      </c>
      <c r="H341" s="133">
        <v>420545</v>
      </c>
      <c r="I341" s="139" t="s">
        <v>376</v>
      </c>
      <c r="J341" s="137" t="s">
        <v>66</v>
      </c>
    </row>
    <row r="342" spans="1:10" x14ac:dyDescent="0.3">
      <c r="A342" s="132"/>
      <c r="B342" s="210"/>
      <c r="C342" s="188" t="s">
        <v>101</v>
      </c>
      <c r="D342" s="133" t="s">
        <v>312</v>
      </c>
      <c r="E342" s="133">
        <v>1000092</v>
      </c>
      <c r="F342" s="133" t="str">
        <f t="shared" si="4"/>
        <v>KSAMLSWHHMN0190001</v>
      </c>
      <c r="G342" s="155" t="s">
        <v>377</v>
      </c>
      <c r="H342" s="135">
        <v>16582313</v>
      </c>
      <c r="I342" s="136" t="s">
        <v>372</v>
      </c>
      <c r="J342" s="137" t="s">
        <v>51</v>
      </c>
    </row>
    <row r="343" spans="1:10" x14ac:dyDescent="0.3">
      <c r="A343" s="132"/>
      <c r="B343" s="210"/>
      <c r="C343" s="188" t="s">
        <v>101</v>
      </c>
      <c r="D343" s="133" t="s">
        <v>312</v>
      </c>
      <c r="E343" s="133">
        <v>1000092</v>
      </c>
      <c r="F343" s="138" t="str">
        <f t="shared" si="4"/>
        <v>KSAMLSWHHMN0240001</v>
      </c>
      <c r="G343" s="136" t="s">
        <v>378</v>
      </c>
      <c r="H343" s="135">
        <v>16583305</v>
      </c>
      <c r="I343" s="136" t="s">
        <v>368</v>
      </c>
      <c r="J343" s="137" t="s">
        <v>51</v>
      </c>
    </row>
    <row r="344" spans="1:10" x14ac:dyDescent="0.3">
      <c r="A344" s="132"/>
      <c r="B344" s="210"/>
      <c r="C344" s="188" t="s">
        <v>101</v>
      </c>
      <c r="D344" s="133" t="s">
        <v>312</v>
      </c>
      <c r="E344" s="133">
        <v>1000092</v>
      </c>
      <c r="F344" s="138" t="str">
        <f t="shared" si="4"/>
        <v>KSAMLSWHHMN0290001</v>
      </c>
      <c r="G344" s="136" t="s">
        <v>379</v>
      </c>
      <c r="H344" s="135">
        <v>16583313</v>
      </c>
      <c r="I344" s="136" t="s">
        <v>374</v>
      </c>
      <c r="J344" s="137" t="s">
        <v>51</v>
      </c>
    </row>
    <row r="345" spans="1:10" x14ac:dyDescent="0.3">
      <c r="A345" s="132"/>
      <c r="B345" s="210"/>
      <c r="C345" s="188" t="s">
        <v>101</v>
      </c>
      <c r="D345" s="133" t="s">
        <v>312</v>
      </c>
      <c r="E345" s="133">
        <v>1000092</v>
      </c>
      <c r="F345" s="138" t="str">
        <f t="shared" si="4"/>
        <v>KSAMLSWHHMN0340001</v>
      </c>
      <c r="G345" s="134" t="s">
        <v>380</v>
      </c>
      <c r="H345" s="134">
        <v>16584305</v>
      </c>
      <c r="I345" s="136" t="s">
        <v>370</v>
      </c>
      <c r="J345" s="137" t="s">
        <v>51</v>
      </c>
    </row>
    <row r="346" spans="1:10" ht="15" thickBot="1" x14ac:dyDescent="0.35">
      <c r="A346" s="144"/>
      <c r="B346" s="211"/>
      <c r="C346" s="188" t="s">
        <v>101</v>
      </c>
      <c r="D346" s="133" t="s">
        <v>312</v>
      </c>
      <c r="E346" s="133">
        <v>1000092</v>
      </c>
      <c r="F346" s="138" t="str">
        <f t="shared" si="4"/>
        <v>KSAMLSWHHMN0390001</v>
      </c>
      <c r="G346" s="133" t="s">
        <v>381</v>
      </c>
      <c r="H346" s="133">
        <v>16584313</v>
      </c>
      <c r="I346" s="136" t="s">
        <v>376</v>
      </c>
      <c r="J346" s="137" t="s">
        <v>51</v>
      </c>
    </row>
    <row r="347" spans="1:10" x14ac:dyDescent="0.3">
      <c r="A347" s="127" t="s">
        <v>382</v>
      </c>
      <c r="B347" s="200" t="s">
        <v>383</v>
      </c>
      <c r="C347" s="128" t="s">
        <v>47</v>
      </c>
      <c r="D347" s="128" t="s">
        <v>382</v>
      </c>
      <c r="E347" s="128">
        <v>1000709</v>
      </c>
      <c r="F347" s="159" t="str">
        <f t="shared" si="4"/>
        <v>IraqMLPRFCMN0140001</v>
      </c>
      <c r="G347" s="159" t="s">
        <v>131</v>
      </c>
      <c r="H347" s="128">
        <v>420311</v>
      </c>
      <c r="I347" s="154" t="s">
        <v>50</v>
      </c>
      <c r="J347" s="131" t="s">
        <v>66</v>
      </c>
    </row>
    <row r="348" spans="1:10" x14ac:dyDescent="0.3">
      <c r="A348" s="132"/>
      <c r="B348" s="210"/>
      <c r="C348" s="133" t="s">
        <v>47</v>
      </c>
      <c r="D348" s="133" t="s">
        <v>382</v>
      </c>
      <c r="E348" s="133">
        <v>1000709</v>
      </c>
      <c r="F348" s="138" t="str">
        <f t="shared" si="4"/>
        <v>IraqMLPRFCMN0190001</v>
      </c>
      <c r="G348" s="138" t="s">
        <v>384</v>
      </c>
      <c r="H348" s="133">
        <v>420355</v>
      </c>
      <c r="I348" s="139" t="s">
        <v>68</v>
      </c>
      <c r="J348" s="137" t="s">
        <v>66</v>
      </c>
    </row>
    <row r="349" spans="1:10" x14ac:dyDescent="0.3">
      <c r="A349" s="132"/>
      <c r="B349" s="210"/>
      <c r="C349" s="133" t="s">
        <v>47</v>
      </c>
      <c r="D349" s="133" t="s">
        <v>382</v>
      </c>
      <c r="E349" s="133">
        <v>1000709</v>
      </c>
      <c r="F349" s="133" t="str">
        <f t="shared" si="4"/>
        <v>IraqMLPRFCMN0240001</v>
      </c>
      <c r="G349" s="138" t="s">
        <v>133</v>
      </c>
      <c r="H349" s="133">
        <v>420312</v>
      </c>
      <c r="I349" s="139" t="s">
        <v>53</v>
      </c>
      <c r="J349" s="137" t="s">
        <v>66</v>
      </c>
    </row>
    <row r="350" spans="1:10" x14ac:dyDescent="0.3">
      <c r="A350" s="132"/>
      <c r="B350" s="210"/>
      <c r="C350" s="133" t="s">
        <v>47</v>
      </c>
      <c r="D350" s="133" t="s">
        <v>382</v>
      </c>
      <c r="E350" s="133">
        <v>1000709</v>
      </c>
      <c r="F350" s="138" t="str">
        <f t="shared" si="4"/>
        <v>IraqMLPRFCMN0290001</v>
      </c>
      <c r="G350" s="138" t="s">
        <v>385</v>
      </c>
      <c r="H350" s="133">
        <v>420356</v>
      </c>
      <c r="I350" s="140" t="s">
        <v>70</v>
      </c>
      <c r="J350" s="137" t="s">
        <v>66</v>
      </c>
    </row>
    <row r="351" spans="1:10" x14ac:dyDescent="0.3">
      <c r="A351" s="132"/>
      <c r="B351" s="210"/>
      <c r="C351" s="133" t="s">
        <v>47</v>
      </c>
      <c r="D351" s="133" t="s">
        <v>382</v>
      </c>
      <c r="E351" s="133">
        <v>1000709</v>
      </c>
      <c r="F351" s="133" t="str">
        <f t="shared" si="4"/>
        <v>IraqMLPRFCMN0340001</v>
      </c>
      <c r="G351" s="138" t="s">
        <v>134</v>
      </c>
      <c r="H351" s="133">
        <v>420313</v>
      </c>
      <c r="I351" s="139" t="s">
        <v>55</v>
      </c>
      <c r="J351" s="137" t="s">
        <v>66</v>
      </c>
    </row>
    <row r="352" spans="1:10" x14ac:dyDescent="0.3">
      <c r="A352" s="132"/>
      <c r="B352" s="210"/>
      <c r="C352" s="133" t="s">
        <v>47</v>
      </c>
      <c r="D352" s="133" t="s">
        <v>382</v>
      </c>
      <c r="E352" s="133">
        <v>1000709</v>
      </c>
      <c r="F352" s="138" t="str">
        <f t="shared" si="4"/>
        <v>IraqMLPRFCMN0390001</v>
      </c>
      <c r="G352" s="138" t="s">
        <v>386</v>
      </c>
      <c r="H352" s="133">
        <v>420357</v>
      </c>
      <c r="I352" s="140" t="s">
        <v>72</v>
      </c>
      <c r="J352" s="137" t="s">
        <v>66</v>
      </c>
    </row>
    <row r="353" spans="1:10" x14ac:dyDescent="0.3">
      <c r="A353" s="132"/>
      <c r="B353" s="210"/>
      <c r="C353" s="133" t="s">
        <v>47</v>
      </c>
      <c r="D353" s="133" t="s">
        <v>382</v>
      </c>
      <c r="E353" s="133">
        <v>1000709</v>
      </c>
      <c r="F353" s="133" t="str">
        <f t="shared" si="4"/>
        <v>IraqMLPRHHMN0440002</v>
      </c>
      <c r="G353" s="138" t="s">
        <v>56</v>
      </c>
      <c r="H353" s="133">
        <v>16593305</v>
      </c>
      <c r="I353" s="139" t="s">
        <v>57</v>
      </c>
      <c r="J353" s="137" t="s">
        <v>51</v>
      </c>
    </row>
    <row r="354" spans="1:10" x14ac:dyDescent="0.3">
      <c r="A354" s="132"/>
      <c r="B354" s="210"/>
      <c r="C354" s="133" t="s">
        <v>47</v>
      </c>
      <c r="D354" s="133" t="s">
        <v>382</v>
      </c>
      <c r="E354" s="133">
        <v>1000709</v>
      </c>
      <c r="F354" s="138" t="str">
        <f t="shared" si="4"/>
        <v>IraqMLPRHHMN0540001</v>
      </c>
      <c r="G354" s="138" t="s">
        <v>58</v>
      </c>
      <c r="H354" s="133">
        <v>16613305</v>
      </c>
      <c r="I354" s="140" t="s">
        <v>59</v>
      </c>
      <c r="J354" s="137" t="s">
        <v>51</v>
      </c>
    </row>
    <row r="355" spans="1:10" x14ac:dyDescent="0.3">
      <c r="A355" s="132"/>
      <c r="B355" s="210"/>
      <c r="C355" s="133" t="s">
        <v>47</v>
      </c>
      <c r="D355" s="133" t="s">
        <v>382</v>
      </c>
      <c r="E355" s="133">
        <v>1000709</v>
      </c>
      <c r="F355" s="138" t="str">
        <f t="shared" si="4"/>
        <v>IraqMLPRFCMN1540001</v>
      </c>
      <c r="G355" s="138" t="s">
        <v>64</v>
      </c>
      <c r="H355" s="133">
        <v>408341</v>
      </c>
      <c r="I355" s="139" t="s">
        <v>65</v>
      </c>
      <c r="J355" s="137" t="s">
        <v>66</v>
      </c>
    </row>
    <row r="356" spans="1:10" x14ac:dyDescent="0.3">
      <c r="A356" s="132"/>
      <c r="B356" s="210"/>
      <c r="C356" s="133" t="s">
        <v>47</v>
      </c>
      <c r="D356" s="133" t="s">
        <v>382</v>
      </c>
      <c r="E356" s="133">
        <v>1000709</v>
      </c>
      <c r="F356" s="138" t="str">
        <f t="shared" si="4"/>
        <v>IraqMLPRHHMN1140002</v>
      </c>
      <c r="G356" s="138" t="s">
        <v>60</v>
      </c>
      <c r="H356" s="133">
        <v>16465305</v>
      </c>
      <c r="I356" s="140" t="s">
        <v>61</v>
      </c>
      <c r="J356" s="137" t="s">
        <v>51</v>
      </c>
    </row>
    <row r="357" spans="1:10" x14ac:dyDescent="0.3">
      <c r="A357" s="132"/>
      <c r="B357" s="210"/>
      <c r="C357" s="133" t="s">
        <v>47</v>
      </c>
      <c r="D357" s="133" t="s">
        <v>382</v>
      </c>
      <c r="E357" s="133">
        <v>1000709</v>
      </c>
      <c r="F357" s="138" t="str">
        <f t="shared" si="4"/>
        <v>IraqMLPRFCMN1440001</v>
      </c>
      <c r="G357" s="138" t="s">
        <v>120</v>
      </c>
      <c r="H357" s="133">
        <v>406112</v>
      </c>
      <c r="I357" s="139" t="s">
        <v>63</v>
      </c>
      <c r="J357" s="137" t="s">
        <v>66</v>
      </c>
    </row>
    <row r="358" spans="1:10" x14ac:dyDescent="0.3">
      <c r="A358" s="132"/>
      <c r="B358" s="210"/>
      <c r="C358" s="133" t="s">
        <v>47</v>
      </c>
      <c r="D358" s="133" t="s">
        <v>382</v>
      </c>
      <c r="E358" s="133">
        <v>1000710</v>
      </c>
      <c r="F358" s="138" t="str">
        <f t="shared" si="4"/>
        <v>IraqMLPRHHMN0840001</v>
      </c>
      <c r="G358" s="155" t="s">
        <v>114</v>
      </c>
      <c r="H358" s="135">
        <v>16669305</v>
      </c>
      <c r="I358" s="136" t="s">
        <v>115</v>
      </c>
      <c r="J358" s="137" t="s">
        <v>51</v>
      </c>
    </row>
    <row r="359" spans="1:10" x14ac:dyDescent="0.3">
      <c r="A359" s="132"/>
      <c r="B359" s="210"/>
      <c r="C359" s="133" t="s">
        <v>47</v>
      </c>
      <c r="D359" s="133" t="s">
        <v>382</v>
      </c>
      <c r="E359" s="133">
        <v>1000709</v>
      </c>
      <c r="F359" s="141" t="str">
        <f t="shared" si="4"/>
        <v>IraqMLPRHHMN0940001</v>
      </c>
      <c r="G359" s="136" t="s">
        <v>116</v>
      </c>
      <c r="H359" s="135">
        <v>11918305</v>
      </c>
      <c r="I359" s="136" t="s">
        <v>117</v>
      </c>
      <c r="J359" s="137" t="s">
        <v>51</v>
      </c>
    </row>
    <row r="360" spans="1:10" x14ac:dyDescent="0.3">
      <c r="A360" s="132"/>
      <c r="B360" s="210"/>
      <c r="C360" s="133" t="s">
        <v>47</v>
      </c>
      <c r="D360" s="133" t="s">
        <v>382</v>
      </c>
      <c r="E360" s="133">
        <v>1000709</v>
      </c>
      <c r="F360" s="141" t="str">
        <f t="shared" si="4"/>
        <v>IraqMLPRHHMN1040001</v>
      </c>
      <c r="G360" s="136" t="s">
        <v>118</v>
      </c>
      <c r="H360" s="135">
        <v>11919305</v>
      </c>
      <c r="I360" s="136" t="s">
        <v>119</v>
      </c>
      <c r="J360" s="137" t="s">
        <v>51</v>
      </c>
    </row>
    <row r="361" spans="1:10" x14ac:dyDescent="0.3">
      <c r="A361" s="132"/>
      <c r="B361" s="210"/>
      <c r="C361" s="133" t="s">
        <v>47</v>
      </c>
      <c r="D361" s="133" t="s">
        <v>382</v>
      </c>
      <c r="E361" s="133">
        <v>1000709</v>
      </c>
      <c r="F361" s="141" t="str">
        <f t="shared" si="4"/>
        <v>IraqMLPSHHMN1240002</v>
      </c>
      <c r="G361" s="134" t="s">
        <v>121</v>
      </c>
      <c r="H361" s="134">
        <v>16679335</v>
      </c>
      <c r="I361" s="136" t="s">
        <v>122</v>
      </c>
      <c r="J361" s="137" t="s">
        <v>51</v>
      </c>
    </row>
    <row r="362" spans="1:10" x14ac:dyDescent="0.3">
      <c r="A362" s="132"/>
      <c r="B362" s="210"/>
      <c r="C362" s="133" t="s">
        <v>47</v>
      </c>
      <c r="D362" s="133" t="s">
        <v>382</v>
      </c>
      <c r="E362" s="133">
        <v>1000709</v>
      </c>
      <c r="F362" s="141" t="str">
        <f t="shared" si="4"/>
        <v>IraqMLPSHHMN1290001</v>
      </c>
      <c r="G362" s="133" t="s">
        <v>387</v>
      </c>
      <c r="H362" s="133">
        <v>16037343</v>
      </c>
      <c r="I362" s="136" t="s">
        <v>388</v>
      </c>
      <c r="J362" s="137" t="s">
        <v>51</v>
      </c>
    </row>
    <row r="363" spans="1:10" x14ac:dyDescent="0.3">
      <c r="A363" s="132"/>
      <c r="B363" s="210"/>
      <c r="C363" s="133" t="s">
        <v>47</v>
      </c>
      <c r="D363" s="133" t="s">
        <v>382</v>
      </c>
      <c r="E363" s="133">
        <v>1000709</v>
      </c>
      <c r="F363" s="141" t="str">
        <f t="shared" si="4"/>
        <v>IraqMLPSHHMN1204201</v>
      </c>
      <c r="G363" s="138" t="s">
        <v>389</v>
      </c>
      <c r="H363" s="142">
        <v>16037916</v>
      </c>
      <c r="I363" s="136" t="s">
        <v>390</v>
      </c>
      <c r="J363" s="137" t="s">
        <v>51</v>
      </c>
    </row>
    <row r="364" spans="1:10" x14ac:dyDescent="0.3">
      <c r="A364" s="132"/>
      <c r="B364" s="210"/>
      <c r="C364" s="133" t="s">
        <v>47</v>
      </c>
      <c r="D364" s="133" t="s">
        <v>382</v>
      </c>
      <c r="E364" s="133">
        <v>1000709</v>
      </c>
      <c r="F364" s="141" t="str">
        <f t="shared" si="4"/>
        <v>IraqMLPRHHMN2040001</v>
      </c>
      <c r="G364" s="138" t="s">
        <v>391</v>
      </c>
      <c r="H364" s="153">
        <v>16846305</v>
      </c>
      <c r="I364" s="136" t="s">
        <v>392</v>
      </c>
      <c r="J364" s="137" t="s">
        <v>51</v>
      </c>
    </row>
    <row r="365" spans="1:10" x14ac:dyDescent="0.3">
      <c r="A365" s="132"/>
      <c r="B365" s="210"/>
      <c r="C365" s="133" t="s">
        <v>47</v>
      </c>
      <c r="D365" s="133" t="s">
        <v>382</v>
      </c>
      <c r="E365" s="133">
        <v>1000709</v>
      </c>
      <c r="F365" s="141" t="str">
        <f t="shared" ref="F365:F430" si="5">+_xlfn.CONCAT(D365,G365)</f>
        <v>IraqMLPUHHMN0140001</v>
      </c>
      <c r="G365" s="134" t="s">
        <v>75</v>
      </c>
      <c r="H365" s="143">
        <v>16249335</v>
      </c>
      <c r="I365" s="136" t="s">
        <v>76</v>
      </c>
      <c r="J365" s="137" t="s">
        <v>51</v>
      </c>
    </row>
    <row r="366" spans="1:10" x14ac:dyDescent="0.3">
      <c r="A366" s="132"/>
      <c r="B366" s="210"/>
      <c r="C366" s="133" t="s">
        <v>47</v>
      </c>
      <c r="D366" s="133" t="s">
        <v>382</v>
      </c>
      <c r="E366" s="133">
        <v>1000709</v>
      </c>
      <c r="F366" s="141" t="str">
        <f t="shared" si="5"/>
        <v>IraqMLPUHHMN0240001</v>
      </c>
      <c r="G366" s="136" t="s">
        <v>77</v>
      </c>
      <c r="H366" s="141">
        <v>16250335</v>
      </c>
      <c r="I366" s="136" t="s">
        <v>78</v>
      </c>
      <c r="J366" s="137" t="s">
        <v>51</v>
      </c>
    </row>
    <row r="367" spans="1:10" x14ac:dyDescent="0.3">
      <c r="A367" s="132"/>
      <c r="B367" s="210"/>
      <c r="C367" s="133" t="s">
        <v>47</v>
      </c>
      <c r="D367" s="133" t="s">
        <v>382</v>
      </c>
      <c r="E367" s="133">
        <v>1000709</v>
      </c>
      <c r="F367" s="141" t="str">
        <f t="shared" si="5"/>
        <v>IraqMLPUHHMN0340001</v>
      </c>
      <c r="G367" s="135" t="s">
        <v>79</v>
      </c>
      <c r="H367" s="141">
        <v>16251335</v>
      </c>
      <c r="I367" s="136" t="s">
        <v>80</v>
      </c>
      <c r="J367" s="137" t="s">
        <v>51</v>
      </c>
    </row>
    <row r="368" spans="1:10" x14ac:dyDescent="0.3">
      <c r="A368" s="132"/>
      <c r="B368" s="210"/>
      <c r="C368" s="133" t="s">
        <v>47</v>
      </c>
      <c r="D368" s="133" t="s">
        <v>382</v>
      </c>
      <c r="E368" s="133">
        <v>1000709</v>
      </c>
      <c r="F368" s="141" t="str">
        <f t="shared" si="5"/>
        <v>IraqMLPUHHMN0440001</v>
      </c>
      <c r="G368" s="135" t="s">
        <v>81</v>
      </c>
      <c r="H368" s="141">
        <v>16252335</v>
      </c>
      <c r="I368" s="136" t="s">
        <v>82</v>
      </c>
      <c r="J368" s="137" t="s">
        <v>51</v>
      </c>
    </row>
    <row r="369" spans="1:10" x14ac:dyDescent="0.3">
      <c r="A369" s="132"/>
      <c r="B369" s="210"/>
      <c r="C369" s="133" t="s">
        <v>47</v>
      </c>
      <c r="D369" s="133" t="s">
        <v>382</v>
      </c>
      <c r="E369" s="133">
        <v>1000709</v>
      </c>
      <c r="F369" s="133" t="str">
        <f t="shared" si="5"/>
        <v>IraqMLPUHHMN0540001</v>
      </c>
      <c r="G369" s="139" t="s">
        <v>83</v>
      </c>
      <c r="H369" s="138">
        <v>16711335</v>
      </c>
      <c r="I369" s="136" t="s">
        <v>84</v>
      </c>
      <c r="J369" s="137" t="s">
        <v>51</v>
      </c>
    </row>
    <row r="370" spans="1:10" x14ac:dyDescent="0.3">
      <c r="A370" s="132"/>
      <c r="B370" s="210"/>
      <c r="C370" s="133" t="s">
        <v>47</v>
      </c>
      <c r="D370" s="133" t="s">
        <v>382</v>
      </c>
      <c r="E370" s="133">
        <v>1000709</v>
      </c>
      <c r="F370" s="138" t="str">
        <f t="shared" si="5"/>
        <v>IraqMLPUHHMN1140001</v>
      </c>
      <c r="G370" s="138" t="s">
        <v>254</v>
      </c>
      <c r="H370" s="133">
        <v>16313335</v>
      </c>
      <c r="I370" s="139" t="s">
        <v>255</v>
      </c>
      <c r="J370" s="137" t="s">
        <v>51</v>
      </c>
    </row>
    <row r="371" spans="1:10" x14ac:dyDescent="0.3">
      <c r="A371" s="132"/>
      <c r="B371" s="210"/>
      <c r="C371" s="188" t="s">
        <v>101</v>
      </c>
      <c r="D371" s="133" t="s">
        <v>382</v>
      </c>
      <c r="E371" s="133">
        <v>1000709</v>
      </c>
      <c r="F371" s="135" t="str">
        <f t="shared" si="5"/>
        <v>IraqMLNUHHME0140001</v>
      </c>
      <c r="G371" s="134" t="s">
        <v>393</v>
      </c>
      <c r="H371" s="133">
        <v>16408305</v>
      </c>
      <c r="I371" s="140" t="s">
        <v>394</v>
      </c>
      <c r="J371" s="137" t="s">
        <v>51</v>
      </c>
    </row>
    <row r="372" spans="1:10" x14ac:dyDescent="0.3">
      <c r="A372" s="132"/>
      <c r="B372" s="210"/>
      <c r="C372" s="188" t="s">
        <v>101</v>
      </c>
      <c r="D372" s="133" t="s">
        <v>382</v>
      </c>
      <c r="E372" s="133">
        <v>1000709</v>
      </c>
      <c r="F372" s="135" t="str">
        <f t="shared" si="5"/>
        <v>IraqMLNUHHME0240001</v>
      </c>
      <c r="G372" s="182" t="s">
        <v>395</v>
      </c>
      <c r="H372" s="133">
        <v>16409305</v>
      </c>
      <c r="I372" s="140" t="s">
        <v>396</v>
      </c>
      <c r="J372" s="137" t="s">
        <v>51</v>
      </c>
    </row>
    <row r="373" spans="1:10" x14ac:dyDescent="0.3">
      <c r="A373" s="132"/>
      <c r="B373" s="210"/>
      <c r="C373" s="188" t="s">
        <v>101</v>
      </c>
      <c r="D373" s="133" t="s">
        <v>382</v>
      </c>
      <c r="E373" s="133">
        <v>1000709</v>
      </c>
      <c r="F373" s="135" t="str">
        <f>+_xlfn.CONCAT(D373,G373)</f>
        <v>IraqMLNUHHME0340001</v>
      </c>
      <c r="G373" s="182" t="s">
        <v>397</v>
      </c>
      <c r="H373" s="133">
        <v>16410305</v>
      </c>
      <c r="I373" s="140" t="s">
        <v>398</v>
      </c>
      <c r="J373" s="137" t="s">
        <v>51</v>
      </c>
    </row>
    <row r="374" spans="1:10" x14ac:dyDescent="0.3">
      <c r="A374" s="132"/>
      <c r="B374" s="210"/>
      <c r="C374" s="188" t="s">
        <v>101</v>
      </c>
      <c r="D374" s="133" t="s">
        <v>382</v>
      </c>
      <c r="E374" s="133">
        <v>1000709</v>
      </c>
      <c r="F374" s="135" t="str">
        <f>+_xlfn.CONCAT(D374,G374)</f>
        <v>IraqMLNUHHSA1140002</v>
      </c>
      <c r="G374" s="135" t="s">
        <v>353</v>
      </c>
      <c r="H374" s="133">
        <v>16513305</v>
      </c>
      <c r="I374" s="139" t="s">
        <v>354</v>
      </c>
      <c r="J374" s="137" t="s">
        <v>51</v>
      </c>
    </row>
    <row r="375" spans="1:10" x14ac:dyDescent="0.3">
      <c r="A375" s="132"/>
      <c r="B375" s="210"/>
      <c r="C375" s="188" t="s">
        <v>101</v>
      </c>
      <c r="D375" s="133" t="s">
        <v>382</v>
      </c>
      <c r="E375" s="133">
        <v>1000710</v>
      </c>
      <c r="F375" s="135" t="str">
        <f>+_xlfn.CONCAT(D375,G375)</f>
        <v>IraqMLNUHHSA0440002</v>
      </c>
      <c r="G375" s="182" t="s">
        <v>351</v>
      </c>
      <c r="H375" s="182">
        <v>16595305</v>
      </c>
      <c r="I375" s="140" t="s">
        <v>352</v>
      </c>
      <c r="J375" s="137" t="s">
        <v>51</v>
      </c>
    </row>
    <row r="376" spans="1:10" x14ac:dyDescent="0.3">
      <c r="A376" s="132"/>
      <c r="B376" s="210"/>
      <c r="C376" s="188" t="s">
        <v>101</v>
      </c>
      <c r="D376" s="133" t="s">
        <v>382</v>
      </c>
      <c r="E376" s="133">
        <v>1000709</v>
      </c>
      <c r="F376" s="135" t="str">
        <f t="shared" si="5"/>
        <v>IraqMLNUDKME0140001</v>
      </c>
      <c r="G376" s="135" t="s">
        <v>337</v>
      </c>
      <c r="H376" s="133">
        <v>71269</v>
      </c>
      <c r="I376" s="139" t="s">
        <v>338</v>
      </c>
      <c r="J376" s="137" t="s">
        <v>104</v>
      </c>
    </row>
    <row r="377" spans="1:10" x14ac:dyDescent="0.3">
      <c r="A377" s="132"/>
      <c r="B377" s="210"/>
      <c r="C377" s="188" t="s">
        <v>101</v>
      </c>
      <c r="D377" s="133" t="s">
        <v>382</v>
      </c>
      <c r="E377" s="133">
        <v>1000709</v>
      </c>
      <c r="F377" s="135" t="str">
        <f t="shared" si="5"/>
        <v>IraqMLNUDKME0240001</v>
      </c>
      <c r="G377" s="135" t="s">
        <v>341</v>
      </c>
      <c r="H377" s="133">
        <v>71270</v>
      </c>
      <c r="I377" s="139" t="s">
        <v>342</v>
      </c>
      <c r="J377" s="137" t="s">
        <v>104</v>
      </c>
    </row>
    <row r="378" spans="1:10" x14ac:dyDescent="0.3">
      <c r="A378" s="132"/>
      <c r="B378" s="210"/>
      <c r="C378" s="188" t="s">
        <v>101</v>
      </c>
      <c r="D378" s="133" t="s">
        <v>382</v>
      </c>
      <c r="E378" s="133">
        <v>1000709</v>
      </c>
      <c r="F378" s="135" t="str">
        <f t="shared" si="5"/>
        <v>IraqMLNUDKME0340001</v>
      </c>
      <c r="G378" s="135" t="s">
        <v>345</v>
      </c>
      <c r="H378" s="133">
        <v>71271</v>
      </c>
      <c r="I378" s="139" t="s">
        <v>346</v>
      </c>
      <c r="J378" s="137" t="s">
        <v>104</v>
      </c>
    </row>
    <row r="379" spans="1:10" x14ac:dyDescent="0.3">
      <c r="A379" s="132"/>
      <c r="B379" s="210"/>
      <c r="C379" s="133" t="s">
        <v>47</v>
      </c>
      <c r="D379" s="133" t="s">
        <v>382</v>
      </c>
      <c r="E379" s="133">
        <v>1000709</v>
      </c>
      <c r="F379" s="135" t="str">
        <f t="shared" si="5"/>
        <v>IraqCRPRBLMN0635001</v>
      </c>
      <c r="G379" s="135" t="s">
        <v>399</v>
      </c>
      <c r="H379" s="162" t="s">
        <v>400</v>
      </c>
      <c r="I379" s="163" t="s">
        <v>401</v>
      </c>
      <c r="J379" s="137" t="s">
        <v>91</v>
      </c>
    </row>
    <row r="380" spans="1:10" x14ac:dyDescent="0.3">
      <c r="A380" s="132"/>
      <c r="B380" s="210"/>
      <c r="C380" s="133" t="s">
        <v>47</v>
      </c>
      <c r="D380" s="133" t="s">
        <v>382</v>
      </c>
      <c r="E380" s="133">
        <v>1000709</v>
      </c>
      <c r="F380" s="135" t="str">
        <f t="shared" si="5"/>
        <v>IraqCRPRBLMN0135001</v>
      </c>
      <c r="G380" s="135" t="s">
        <v>402</v>
      </c>
      <c r="H380" s="162" t="s">
        <v>403</v>
      </c>
      <c r="I380" s="163" t="s">
        <v>404</v>
      </c>
      <c r="J380" s="137" t="s">
        <v>91</v>
      </c>
    </row>
    <row r="381" spans="1:10" x14ac:dyDescent="0.3">
      <c r="A381" s="132"/>
      <c r="B381" s="210"/>
      <c r="C381" s="133" t="s">
        <v>47</v>
      </c>
      <c r="D381" s="133" t="s">
        <v>382</v>
      </c>
      <c r="E381" s="133">
        <v>1000709</v>
      </c>
      <c r="F381" s="135" t="str">
        <f t="shared" si="5"/>
        <v>IraqCRPRBLMN0335001</v>
      </c>
      <c r="G381" s="135" t="s">
        <v>405</v>
      </c>
      <c r="H381" s="162" t="s">
        <v>406</v>
      </c>
      <c r="I381" s="163" t="s">
        <v>407</v>
      </c>
      <c r="J381" s="137" t="s">
        <v>91</v>
      </c>
    </row>
    <row r="382" spans="1:10" ht="15" thickBot="1" x14ac:dyDescent="0.35">
      <c r="A382" s="144"/>
      <c r="B382" s="211"/>
      <c r="C382" s="145" t="s">
        <v>47</v>
      </c>
      <c r="D382" s="145" t="s">
        <v>382</v>
      </c>
      <c r="E382" s="145">
        <v>1000709</v>
      </c>
      <c r="F382" s="146" t="str">
        <f t="shared" si="5"/>
        <v>IraqCRPRBLMN0235001</v>
      </c>
      <c r="G382" s="146" t="s">
        <v>408</v>
      </c>
      <c r="H382" s="146" t="s">
        <v>409</v>
      </c>
      <c r="I382" s="168" t="s">
        <v>410</v>
      </c>
      <c r="J382" s="148" t="s">
        <v>91</v>
      </c>
    </row>
    <row r="383" spans="1:10" x14ac:dyDescent="0.3">
      <c r="A383" s="127" t="s">
        <v>382</v>
      </c>
      <c r="B383" s="200" t="s">
        <v>411</v>
      </c>
      <c r="C383" s="188" t="s">
        <v>101</v>
      </c>
      <c r="D383" s="128" t="s">
        <v>382</v>
      </c>
      <c r="E383" s="128" t="s">
        <v>412</v>
      </c>
      <c r="F383" s="159" t="str">
        <f t="shared" si="5"/>
        <v>IraqMLSWHHMN1640001</v>
      </c>
      <c r="G383" s="159" t="s">
        <v>136</v>
      </c>
      <c r="H383" s="133">
        <v>11988305</v>
      </c>
      <c r="I383" s="154" t="s">
        <v>137</v>
      </c>
      <c r="J383" s="131" t="s">
        <v>51</v>
      </c>
    </row>
    <row r="384" spans="1:10" x14ac:dyDescent="0.3">
      <c r="A384" s="132"/>
      <c r="B384" s="210"/>
      <c r="C384" s="188" t="s">
        <v>101</v>
      </c>
      <c r="D384" s="133" t="s">
        <v>382</v>
      </c>
      <c r="E384" s="133" t="s">
        <v>412</v>
      </c>
      <c r="F384" s="138" t="str">
        <f t="shared" si="5"/>
        <v>IraqMLSWHHMN1740001</v>
      </c>
      <c r="G384" s="133" t="s">
        <v>139</v>
      </c>
      <c r="H384" s="133">
        <v>11989305</v>
      </c>
      <c r="I384" s="136" t="s">
        <v>140</v>
      </c>
      <c r="J384" s="137" t="s">
        <v>51</v>
      </c>
    </row>
    <row r="385" spans="1:10" x14ac:dyDescent="0.3">
      <c r="A385" s="132"/>
      <c r="B385" s="210"/>
      <c r="C385" s="188" t="s">
        <v>101</v>
      </c>
      <c r="D385" s="133" t="s">
        <v>382</v>
      </c>
      <c r="E385" s="133" t="s">
        <v>412</v>
      </c>
      <c r="F385" s="133" t="str">
        <f t="shared" si="5"/>
        <v>IraqMLSWHHMN1840001</v>
      </c>
      <c r="G385" s="138" t="s">
        <v>141</v>
      </c>
      <c r="H385" s="133">
        <v>11990305</v>
      </c>
      <c r="I385" s="139" t="s">
        <v>142</v>
      </c>
      <c r="J385" s="137" t="s">
        <v>51</v>
      </c>
    </row>
    <row r="386" spans="1:10" x14ac:dyDescent="0.3">
      <c r="A386" s="132"/>
      <c r="B386" s="210" t="s">
        <v>411</v>
      </c>
      <c r="C386" s="188" t="s">
        <v>101</v>
      </c>
      <c r="D386" s="133" t="s">
        <v>382</v>
      </c>
      <c r="E386" s="133" t="s">
        <v>412</v>
      </c>
      <c r="F386" s="138" t="str">
        <f t="shared" si="5"/>
        <v>IraqMLSWHHMN0440002</v>
      </c>
      <c r="G386" s="138" t="s">
        <v>147</v>
      </c>
      <c r="H386" s="133">
        <v>16594305</v>
      </c>
      <c r="I386" s="139" t="s">
        <v>148</v>
      </c>
      <c r="J386" s="137" t="s">
        <v>51</v>
      </c>
    </row>
    <row r="387" spans="1:10" x14ac:dyDescent="0.3">
      <c r="A387" s="132"/>
      <c r="B387" s="210" t="s">
        <v>411</v>
      </c>
      <c r="C387" s="188" t="s">
        <v>101</v>
      </c>
      <c r="D387" s="133" t="s">
        <v>382</v>
      </c>
      <c r="E387" s="133" t="s">
        <v>412</v>
      </c>
      <c r="F387" s="138" t="str">
        <f t="shared" si="5"/>
        <v>IraqMLSWFCMN0140001</v>
      </c>
      <c r="G387" s="138" t="s">
        <v>365</v>
      </c>
      <c r="H387" s="133">
        <v>420292</v>
      </c>
      <c r="I387" s="139" t="s">
        <v>366</v>
      </c>
      <c r="J387" s="137" t="s">
        <v>66</v>
      </c>
    </row>
    <row r="388" spans="1:10" x14ac:dyDescent="0.3">
      <c r="A388" s="132"/>
      <c r="B388" s="210" t="s">
        <v>411</v>
      </c>
      <c r="C388" s="188" t="s">
        <v>101</v>
      </c>
      <c r="D388" s="133" t="s">
        <v>382</v>
      </c>
      <c r="E388" s="133" t="s">
        <v>412</v>
      </c>
      <c r="F388" s="133" t="str">
        <f t="shared" si="5"/>
        <v>IraqMLSWFCMN0240001</v>
      </c>
      <c r="G388" s="138" t="s">
        <v>367</v>
      </c>
      <c r="H388" s="133">
        <v>420293</v>
      </c>
      <c r="I388" s="139" t="s">
        <v>368</v>
      </c>
      <c r="J388" s="137" t="s">
        <v>66</v>
      </c>
    </row>
    <row r="389" spans="1:10" x14ac:dyDescent="0.3">
      <c r="A389" s="132"/>
      <c r="B389" s="210" t="s">
        <v>411</v>
      </c>
      <c r="C389" s="188" t="s">
        <v>101</v>
      </c>
      <c r="D389" s="133" t="s">
        <v>382</v>
      </c>
      <c r="E389" s="133" t="s">
        <v>412</v>
      </c>
      <c r="F389" s="134" t="str">
        <f t="shared" si="5"/>
        <v>IraqMLSWFCMN0340001</v>
      </c>
      <c r="G389" s="138" t="s">
        <v>369</v>
      </c>
      <c r="H389" s="133">
        <v>420294</v>
      </c>
      <c r="I389" s="139" t="s">
        <v>370</v>
      </c>
      <c r="J389" s="137" t="s">
        <v>66</v>
      </c>
    </row>
    <row r="390" spans="1:10" x14ac:dyDescent="0.3">
      <c r="A390" s="132"/>
      <c r="B390" s="210"/>
      <c r="C390" s="188" t="s">
        <v>101</v>
      </c>
      <c r="D390" s="133" t="s">
        <v>382</v>
      </c>
      <c r="E390" s="133" t="s">
        <v>412</v>
      </c>
      <c r="F390" s="134" t="str">
        <f t="shared" si="5"/>
        <v>IraqMLSWFCMN0190001</v>
      </c>
      <c r="G390" s="136" t="s">
        <v>371</v>
      </c>
      <c r="H390" s="135">
        <v>420543</v>
      </c>
      <c r="I390" s="139" t="s">
        <v>372</v>
      </c>
      <c r="J390" s="137" t="s">
        <v>66</v>
      </c>
    </row>
    <row r="391" spans="1:10" x14ac:dyDescent="0.3">
      <c r="A391" s="132"/>
      <c r="B391" s="210"/>
      <c r="C391" s="188" t="s">
        <v>101</v>
      </c>
      <c r="D391" s="133" t="s">
        <v>382</v>
      </c>
      <c r="E391" s="133" t="s">
        <v>412</v>
      </c>
      <c r="F391" s="138" t="str">
        <f t="shared" si="5"/>
        <v>IraqMLSWFCMN0290001</v>
      </c>
      <c r="G391" s="138" t="s">
        <v>373</v>
      </c>
      <c r="H391" s="133">
        <v>420544</v>
      </c>
      <c r="I391" s="139" t="s">
        <v>374</v>
      </c>
      <c r="J391" s="137" t="s">
        <v>66</v>
      </c>
    </row>
    <row r="392" spans="1:10" x14ac:dyDescent="0.3">
      <c r="A392" s="132"/>
      <c r="B392" s="210"/>
      <c r="C392" s="188" t="s">
        <v>101</v>
      </c>
      <c r="D392" s="133" t="s">
        <v>382</v>
      </c>
      <c r="E392" s="133" t="s">
        <v>412</v>
      </c>
      <c r="F392" s="133" t="str">
        <f t="shared" si="5"/>
        <v>IraqMLSWFCMN0390001</v>
      </c>
      <c r="G392" s="138" t="s">
        <v>375</v>
      </c>
      <c r="H392" s="133">
        <v>420545</v>
      </c>
      <c r="I392" s="139" t="s">
        <v>376</v>
      </c>
      <c r="J392" s="137" t="s">
        <v>66</v>
      </c>
    </row>
    <row r="393" spans="1:10" x14ac:dyDescent="0.3">
      <c r="A393" s="132"/>
      <c r="B393" s="210" t="s">
        <v>411</v>
      </c>
      <c r="C393" s="188" t="s">
        <v>101</v>
      </c>
      <c r="D393" s="133" t="s">
        <v>382</v>
      </c>
      <c r="E393" s="133" t="s">
        <v>412</v>
      </c>
      <c r="F393" s="138" t="str">
        <f t="shared" si="5"/>
        <v>IraqMLSWHHMN1440001</v>
      </c>
      <c r="G393" s="138" t="s">
        <v>413</v>
      </c>
      <c r="H393" s="133">
        <v>16577305</v>
      </c>
      <c r="I393" s="139" t="s">
        <v>414</v>
      </c>
      <c r="J393" s="137" t="s">
        <v>51</v>
      </c>
    </row>
    <row r="394" spans="1:10" x14ac:dyDescent="0.3">
      <c r="A394" s="132"/>
      <c r="B394" s="210"/>
      <c r="C394" s="188" t="s">
        <v>101</v>
      </c>
      <c r="D394" s="133" t="s">
        <v>382</v>
      </c>
      <c r="E394" s="133" t="s">
        <v>412</v>
      </c>
      <c r="F394" s="138" t="str">
        <f t="shared" si="5"/>
        <v>IraqMLSWHHMN1140002</v>
      </c>
      <c r="G394" s="134" t="s">
        <v>358</v>
      </c>
      <c r="H394" s="134">
        <v>16573305</v>
      </c>
      <c r="I394" s="140" t="s">
        <v>359</v>
      </c>
      <c r="J394" s="137" t="s">
        <v>51</v>
      </c>
    </row>
    <row r="395" spans="1:10" x14ac:dyDescent="0.3">
      <c r="A395" s="132"/>
      <c r="B395" s="210"/>
      <c r="C395" s="188" t="s">
        <v>101</v>
      </c>
      <c r="D395" s="133" t="s">
        <v>382</v>
      </c>
      <c r="E395" s="133" t="s">
        <v>412</v>
      </c>
      <c r="F395" s="138" t="str">
        <f t="shared" si="5"/>
        <v>IraqMLSWHHMN0540001</v>
      </c>
      <c r="G395" s="134" t="s">
        <v>145</v>
      </c>
      <c r="H395" s="134">
        <v>16612305</v>
      </c>
      <c r="I395" s="140" t="s">
        <v>146</v>
      </c>
      <c r="J395" s="137" t="s">
        <v>51</v>
      </c>
    </row>
    <row r="396" spans="1:10" x14ac:dyDescent="0.3">
      <c r="A396" s="132"/>
      <c r="B396" s="210" t="s">
        <v>411</v>
      </c>
      <c r="C396" s="188" t="s">
        <v>101</v>
      </c>
      <c r="D396" s="133" t="s">
        <v>382</v>
      </c>
      <c r="E396" s="133" t="s">
        <v>412</v>
      </c>
      <c r="F396" s="141" t="str">
        <f t="shared" si="5"/>
        <v>IraqCRSWNUIQ0535001</v>
      </c>
      <c r="G396" s="136" t="s">
        <v>177</v>
      </c>
      <c r="H396" s="135">
        <v>600450</v>
      </c>
      <c r="I396" s="136" t="s">
        <v>178</v>
      </c>
      <c r="J396" s="137" t="s">
        <v>170</v>
      </c>
    </row>
    <row r="397" spans="1:10" x14ac:dyDescent="0.3">
      <c r="A397" s="132"/>
      <c r="B397" s="210" t="s">
        <v>411</v>
      </c>
      <c r="C397" s="188" t="s">
        <v>101</v>
      </c>
      <c r="D397" s="133" t="s">
        <v>382</v>
      </c>
      <c r="E397" s="133" t="s">
        <v>412</v>
      </c>
      <c r="F397" s="141" t="str">
        <f t="shared" si="5"/>
        <v>IraqCRSWNUIQ0135001</v>
      </c>
      <c r="G397" s="136" t="s">
        <v>179</v>
      </c>
      <c r="H397" s="141">
        <v>600453</v>
      </c>
      <c r="I397" s="136" t="s">
        <v>180</v>
      </c>
      <c r="J397" s="137" t="s">
        <v>170</v>
      </c>
    </row>
    <row r="398" spans="1:10" x14ac:dyDescent="0.3">
      <c r="A398" s="132"/>
      <c r="B398" s="210" t="s">
        <v>411</v>
      </c>
      <c r="C398" s="188" t="s">
        <v>101</v>
      </c>
      <c r="D398" s="133" t="s">
        <v>382</v>
      </c>
      <c r="E398" s="133" t="s">
        <v>412</v>
      </c>
      <c r="F398" s="141" t="str">
        <f t="shared" si="5"/>
        <v>IraqCRSWNUIQ0435001</v>
      </c>
      <c r="G398" s="134" t="s">
        <v>181</v>
      </c>
      <c r="H398" s="134">
        <v>600452</v>
      </c>
      <c r="I398" s="140" t="s">
        <v>182</v>
      </c>
      <c r="J398" s="137" t="s">
        <v>170</v>
      </c>
    </row>
    <row r="399" spans="1:10" x14ac:dyDescent="0.3">
      <c r="A399" s="132"/>
      <c r="B399" s="210" t="s">
        <v>411</v>
      </c>
      <c r="C399" s="188" t="s">
        <v>101</v>
      </c>
      <c r="D399" s="133" t="s">
        <v>382</v>
      </c>
      <c r="E399" s="133" t="s">
        <v>412</v>
      </c>
      <c r="F399" s="141" t="str">
        <f t="shared" si="5"/>
        <v>IraqCRSWNUIQ0635001</v>
      </c>
      <c r="G399" s="133" t="s">
        <v>183</v>
      </c>
      <c r="H399" s="133">
        <v>600451</v>
      </c>
      <c r="I399" s="136" t="s">
        <v>184</v>
      </c>
      <c r="J399" s="137" t="s">
        <v>170</v>
      </c>
    </row>
    <row r="400" spans="1:10" x14ac:dyDescent="0.3">
      <c r="A400" s="132"/>
      <c r="B400" s="210" t="s">
        <v>411</v>
      </c>
      <c r="C400" s="188" t="s">
        <v>101</v>
      </c>
      <c r="D400" s="133" t="s">
        <v>382</v>
      </c>
      <c r="E400" s="133" t="s">
        <v>412</v>
      </c>
      <c r="F400" s="141" t="str">
        <f t="shared" si="5"/>
        <v>IraqCRSWNUIQ0335001</v>
      </c>
      <c r="G400" s="138" t="s">
        <v>185</v>
      </c>
      <c r="H400" s="142">
        <v>600454</v>
      </c>
      <c r="I400" s="151" t="s">
        <v>186</v>
      </c>
      <c r="J400" s="137" t="s">
        <v>170</v>
      </c>
    </row>
    <row r="401" spans="1:10" ht="15" thickBot="1" x14ac:dyDescent="0.35">
      <c r="A401" s="144"/>
      <c r="B401" s="211" t="s">
        <v>411</v>
      </c>
      <c r="C401" s="133" t="s">
        <v>47</v>
      </c>
      <c r="D401" s="145" t="s">
        <v>382</v>
      </c>
      <c r="E401" s="145" t="s">
        <v>412</v>
      </c>
      <c r="F401" s="157" t="str">
        <f t="shared" si="5"/>
        <v>IraqCRSWNUIQ0235001</v>
      </c>
      <c r="G401" s="166" t="s">
        <v>187</v>
      </c>
      <c r="H401" s="184">
        <v>600455</v>
      </c>
      <c r="I401" s="185" t="s">
        <v>188</v>
      </c>
      <c r="J401" s="148" t="s">
        <v>170</v>
      </c>
    </row>
    <row r="402" spans="1:10" x14ac:dyDescent="0.3">
      <c r="A402" s="127" t="s">
        <v>415</v>
      </c>
      <c r="B402" s="200" t="s">
        <v>416</v>
      </c>
      <c r="C402" s="128" t="s">
        <v>47</v>
      </c>
      <c r="D402" s="128" t="s">
        <v>415</v>
      </c>
      <c r="E402" s="128">
        <v>1000009</v>
      </c>
      <c r="F402" s="149" t="str">
        <f t="shared" si="5"/>
        <v>JordanMLPRHHMN0140002</v>
      </c>
      <c r="G402" s="150" t="s">
        <v>49</v>
      </c>
      <c r="H402" s="150">
        <v>16454305</v>
      </c>
      <c r="I402" s="130" t="s">
        <v>50</v>
      </c>
      <c r="J402" s="131" t="s">
        <v>51</v>
      </c>
    </row>
    <row r="403" spans="1:10" x14ac:dyDescent="0.3">
      <c r="A403" s="132" t="s">
        <v>415</v>
      </c>
      <c r="B403" s="201" t="s">
        <v>416</v>
      </c>
      <c r="C403" s="133" t="s">
        <v>47</v>
      </c>
      <c r="D403" s="133" t="s">
        <v>415</v>
      </c>
      <c r="E403" s="133">
        <v>1000009</v>
      </c>
      <c r="F403" s="133" t="str">
        <f t="shared" si="5"/>
        <v>JordanMLPRHHMN0190002</v>
      </c>
      <c r="G403" s="133" t="s">
        <v>67</v>
      </c>
      <c r="H403" s="135">
        <v>16454343</v>
      </c>
      <c r="I403" s="136" t="s">
        <v>68</v>
      </c>
      <c r="J403" s="137" t="s">
        <v>51</v>
      </c>
    </row>
    <row r="404" spans="1:10" x14ac:dyDescent="0.3">
      <c r="A404" s="132" t="s">
        <v>415</v>
      </c>
      <c r="B404" s="201" t="s">
        <v>416</v>
      </c>
      <c r="C404" s="133" t="s">
        <v>47</v>
      </c>
      <c r="D404" s="133" t="s">
        <v>415</v>
      </c>
      <c r="E404" s="133">
        <v>1000009</v>
      </c>
      <c r="F404" s="133" t="str">
        <f t="shared" si="5"/>
        <v>JordanMLPRHHMN0240002</v>
      </c>
      <c r="G404" s="133" t="s">
        <v>52</v>
      </c>
      <c r="H404" s="141">
        <v>16456305</v>
      </c>
      <c r="I404" s="139" t="s">
        <v>53</v>
      </c>
      <c r="J404" s="137" t="s">
        <v>51</v>
      </c>
    </row>
    <row r="405" spans="1:10" x14ac:dyDescent="0.3">
      <c r="A405" s="132" t="s">
        <v>415</v>
      </c>
      <c r="B405" s="201" t="s">
        <v>416</v>
      </c>
      <c r="C405" s="133" t="s">
        <v>47</v>
      </c>
      <c r="D405" s="133" t="s">
        <v>415</v>
      </c>
      <c r="E405" s="133">
        <v>1000009</v>
      </c>
      <c r="F405" s="133" t="str">
        <f t="shared" si="5"/>
        <v>JordanMLPRHHMN0290002</v>
      </c>
      <c r="G405" s="133" t="s">
        <v>69</v>
      </c>
      <c r="H405" s="135">
        <v>16456343</v>
      </c>
      <c r="I405" s="136" t="s">
        <v>70</v>
      </c>
      <c r="J405" s="137" t="s">
        <v>51</v>
      </c>
    </row>
    <row r="406" spans="1:10" x14ac:dyDescent="0.3">
      <c r="A406" s="132" t="s">
        <v>415</v>
      </c>
      <c r="B406" s="201" t="s">
        <v>416</v>
      </c>
      <c r="C406" s="133" t="s">
        <v>47</v>
      </c>
      <c r="D406" s="133" t="s">
        <v>415</v>
      </c>
      <c r="E406" s="133">
        <v>1000009</v>
      </c>
      <c r="F406" s="143" t="str">
        <f t="shared" si="5"/>
        <v>JordanMLPRHHMN0340002</v>
      </c>
      <c r="G406" s="133" t="s">
        <v>54</v>
      </c>
      <c r="H406" s="141">
        <v>16458305</v>
      </c>
      <c r="I406" s="139" t="s">
        <v>55</v>
      </c>
      <c r="J406" s="137" t="s">
        <v>51</v>
      </c>
    </row>
    <row r="407" spans="1:10" x14ac:dyDescent="0.3">
      <c r="A407" s="132" t="s">
        <v>415</v>
      </c>
      <c r="B407" s="201" t="s">
        <v>416</v>
      </c>
      <c r="C407" s="133" t="s">
        <v>47</v>
      </c>
      <c r="D407" s="133" t="s">
        <v>415</v>
      </c>
      <c r="E407" s="133">
        <v>1000009</v>
      </c>
      <c r="F407" s="141" t="str">
        <f t="shared" si="5"/>
        <v>JordanMLPRHHMN0390003</v>
      </c>
      <c r="G407" s="133" t="s">
        <v>71</v>
      </c>
      <c r="H407" s="135">
        <v>16458343</v>
      </c>
      <c r="I407" s="136" t="s">
        <v>72</v>
      </c>
      <c r="J407" s="137" t="s">
        <v>51</v>
      </c>
    </row>
    <row r="408" spans="1:10" x14ac:dyDescent="0.3">
      <c r="A408" s="132" t="s">
        <v>415</v>
      </c>
      <c r="B408" s="201" t="s">
        <v>416</v>
      </c>
      <c r="C408" s="133" t="s">
        <v>47</v>
      </c>
      <c r="D408" s="133" t="s">
        <v>415</v>
      </c>
      <c r="E408" s="133">
        <v>1000009</v>
      </c>
      <c r="F408" s="141" t="str">
        <f t="shared" si="5"/>
        <v>JordanMLPRHHMN0440002</v>
      </c>
      <c r="G408" s="133" t="s">
        <v>56</v>
      </c>
      <c r="H408" s="141">
        <v>16593305</v>
      </c>
      <c r="I408" s="139" t="s">
        <v>57</v>
      </c>
      <c r="J408" s="137" t="s">
        <v>51</v>
      </c>
    </row>
    <row r="409" spans="1:10" x14ac:dyDescent="0.3">
      <c r="A409" s="132" t="s">
        <v>415</v>
      </c>
      <c r="B409" s="201" t="s">
        <v>416</v>
      </c>
      <c r="C409" s="133" t="s">
        <v>47</v>
      </c>
      <c r="D409" s="133" t="s">
        <v>415</v>
      </c>
      <c r="E409" s="133">
        <v>1000009</v>
      </c>
      <c r="F409" s="141" t="str">
        <f t="shared" si="5"/>
        <v>JordanMLPRHHMN0490002</v>
      </c>
      <c r="G409" s="141" t="s">
        <v>73</v>
      </c>
      <c r="H409" s="133">
        <v>16593343</v>
      </c>
      <c r="I409" s="136" t="s">
        <v>74</v>
      </c>
      <c r="J409" s="137" t="s">
        <v>51</v>
      </c>
    </row>
    <row r="410" spans="1:10" x14ac:dyDescent="0.3">
      <c r="A410" s="132" t="s">
        <v>415</v>
      </c>
      <c r="B410" s="201" t="s">
        <v>416</v>
      </c>
      <c r="C410" s="133" t="s">
        <v>47</v>
      </c>
      <c r="D410" s="133" t="s">
        <v>415</v>
      </c>
      <c r="E410" s="133">
        <v>1000009</v>
      </c>
      <c r="F410" s="141" t="str">
        <f t="shared" si="5"/>
        <v>JordanMLPRHHMN1140002</v>
      </c>
      <c r="G410" s="141" t="s">
        <v>60</v>
      </c>
      <c r="H410" s="133">
        <v>13038305</v>
      </c>
      <c r="I410" s="139" t="s">
        <v>61</v>
      </c>
      <c r="J410" s="137" t="s">
        <v>51</v>
      </c>
    </row>
    <row r="411" spans="1:10" x14ac:dyDescent="0.3">
      <c r="A411" s="132" t="s">
        <v>415</v>
      </c>
      <c r="B411" s="201" t="s">
        <v>416</v>
      </c>
      <c r="C411" s="133" t="s">
        <v>47</v>
      </c>
      <c r="D411" s="133" t="s">
        <v>415</v>
      </c>
      <c r="E411" s="133">
        <v>1000009</v>
      </c>
      <c r="F411" s="133" t="str">
        <f t="shared" si="5"/>
        <v>JordanMLPRHHJO0940001</v>
      </c>
      <c r="G411" s="133" t="s">
        <v>417</v>
      </c>
      <c r="H411" s="135">
        <v>15833305</v>
      </c>
      <c r="I411" s="136" t="s">
        <v>418</v>
      </c>
      <c r="J411" s="137" t="s">
        <v>51</v>
      </c>
    </row>
    <row r="412" spans="1:10" x14ac:dyDescent="0.3">
      <c r="A412" s="132"/>
      <c r="B412" s="201"/>
      <c r="C412" s="133" t="s">
        <v>47</v>
      </c>
      <c r="D412" s="133" t="s">
        <v>415</v>
      </c>
      <c r="E412" s="133">
        <v>1000009</v>
      </c>
      <c r="F412" s="141" t="str">
        <f t="shared" si="5"/>
        <v>JordanMLPRHHMN1440001</v>
      </c>
      <c r="G412" s="141" t="s">
        <v>62</v>
      </c>
      <c r="H412" s="134">
        <v>16466305</v>
      </c>
      <c r="I412" s="140" t="s">
        <v>63</v>
      </c>
      <c r="J412" s="137" t="s">
        <v>51</v>
      </c>
    </row>
    <row r="413" spans="1:10" x14ac:dyDescent="0.3">
      <c r="A413" s="132" t="s">
        <v>415</v>
      </c>
      <c r="B413" s="201" t="s">
        <v>416</v>
      </c>
      <c r="C413" s="133" t="s">
        <v>47</v>
      </c>
      <c r="D413" s="133" t="s">
        <v>415</v>
      </c>
      <c r="E413" s="133">
        <v>1000009</v>
      </c>
      <c r="F413" s="133" t="str">
        <f t="shared" si="5"/>
        <v>JordanMLPRHHMN0302801</v>
      </c>
      <c r="G413" s="133" t="s">
        <v>419</v>
      </c>
      <c r="H413" s="142">
        <v>16458913</v>
      </c>
      <c r="I413" s="151" t="s">
        <v>420</v>
      </c>
      <c r="J413" s="137" t="s">
        <v>51</v>
      </c>
    </row>
    <row r="414" spans="1:10" x14ac:dyDescent="0.3">
      <c r="A414" s="132" t="s">
        <v>415</v>
      </c>
      <c r="B414" s="201" t="s">
        <v>416</v>
      </c>
      <c r="C414" s="133" t="s">
        <v>47</v>
      </c>
      <c r="D414" s="133" t="s">
        <v>415</v>
      </c>
      <c r="E414" s="133">
        <v>1000009</v>
      </c>
      <c r="F414" s="133" t="str">
        <f t="shared" si="5"/>
        <v>JordanMLPSHHMN1240002</v>
      </c>
      <c r="G414" s="141" t="s">
        <v>121</v>
      </c>
      <c r="H414" s="141">
        <v>16679335</v>
      </c>
      <c r="I414" s="136" t="s">
        <v>122</v>
      </c>
      <c r="J414" s="137" t="s">
        <v>51</v>
      </c>
    </row>
    <row r="415" spans="1:10" x14ac:dyDescent="0.3">
      <c r="A415" s="132"/>
      <c r="B415" s="201"/>
      <c r="C415" s="133" t="s">
        <v>47</v>
      </c>
      <c r="D415" s="133" t="s">
        <v>415</v>
      </c>
      <c r="E415" s="133">
        <v>1000009</v>
      </c>
      <c r="F415" s="153" t="str">
        <f t="shared" si="5"/>
        <v>JordanMLPSHHMN1204201</v>
      </c>
      <c r="G415" s="133" t="s">
        <v>389</v>
      </c>
      <c r="H415" s="141">
        <v>16037916</v>
      </c>
      <c r="I415" s="139" t="s">
        <v>390</v>
      </c>
      <c r="J415" s="137" t="s">
        <v>51</v>
      </c>
    </row>
    <row r="416" spans="1:10" x14ac:dyDescent="0.3">
      <c r="A416" s="132"/>
      <c r="B416" s="201"/>
      <c r="C416" s="133" t="s">
        <v>47</v>
      </c>
      <c r="D416" s="133" t="s">
        <v>415</v>
      </c>
      <c r="E416" s="133">
        <v>1000009</v>
      </c>
      <c r="F416" s="142" t="str">
        <f t="shared" si="5"/>
        <v>JordanMLPRFCMN1540001</v>
      </c>
      <c r="G416" s="133" t="s">
        <v>64</v>
      </c>
      <c r="H416" s="135">
        <v>408341</v>
      </c>
      <c r="I416" s="136" t="s">
        <v>65</v>
      </c>
      <c r="J416" s="137" t="s">
        <v>66</v>
      </c>
    </row>
    <row r="417" spans="1:10" x14ac:dyDescent="0.3">
      <c r="A417" s="132"/>
      <c r="B417" s="201"/>
      <c r="C417" s="133" t="s">
        <v>47</v>
      </c>
      <c r="D417" s="133" t="s">
        <v>415</v>
      </c>
      <c r="E417" s="133">
        <v>1000009</v>
      </c>
      <c r="F417" s="143" t="str">
        <f t="shared" si="5"/>
        <v>JordanCRPRNUJO0125001</v>
      </c>
      <c r="G417" s="133" t="s">
        <v>421</v>
      </c>
      <c r="H417" s="141">
        <v>600625</v>
      </c>
      <c r="I417" s="139" t="s">
        <v>422</v>
      </c>
      <c r="J417" s="137" t="s">
        <v>170</v>
      </c>
    </row>
    <row r="418" spans="1:10" x14ac:dyDescent="0.3">
      <c r="A418" s="132"/>
      <c r="B418" s="201"/>
      <c r="C418" s="133" t="s">
        <v>47</v>
      </c>
      <c r="D418" s="133" t="s">
        <v>415</v>
      </c>
      <c r="E418" s="133">
        <v>1000009</v>
      </c>
      <c r="F418" s="141" t="str">
        <f t="shared" si="5"/>
        <v>JordanCRPRNUJO0225001</v>
      </c>
      <c r="G418" s="141" t="s">
        <v>423</v>
      </c>
      <c r="H418" s="133">
        <v>600620</v>
      </c>
      <c r="I418" s="136" t="s">
        <v>424</v>
      </c>
      <c r="J418" s="137" t="s">
        <v>170</v>
      </c>
    </row>
    <row r="419" spans="1:10" x14ac:dyDescent="0.3">
      <c r="A419" s="132"/>
      <c r="B419" s="201"/>
      <c r="C419" s="133" t="s">
        <v>47</v>
      </c>
      <c r="D419" s="133" t="s">
        <v>415</v>
      </c>
      <c r="E419" s="133">
        <v>1000009</v>
      </c>
      <c r="F419" s="141" t="str">
        <f t="shared" si="5"/>
        <v>JordanCRPRNUJO0325001</v>
      </c>
      <c r="G419" s="141" t="s">
        <v>425</v>
      </c>
      <c r="H419" s="133">
        <v>600621</v>
      </c>
      <c r="I419" s="139" t="s">
        <v>426</v>
      </c>
      <c r="J419" s="137" t="s">
        <v>170</v>
      </c>
    </row>
    <row r="420" spans="1:10" x14ac:dyDescent="0.3">
      <c r="A420" s="132"/>
      <c r="B420" s="201"/>
      <c r="C420" s="133" t="s">
        <v>47</v>
      </c>
      <c r="D420" s="133" t="s">
        <v>415</v>
      </c>
      <c r="E420" s="133">
        <v>1000009</v>
      </c>
      <c r="F420" s="141" t="str">
        <f t="shared" si="5"/>
        <v>JordanCRPRNUJO0525002</v>
      </c>
      <c r="G420" s="133" t="s">
        <v>427</v>
      </c>
      <c r="H420" s="135">
        <v>600946</v>
      </c>
      <c r="I420" s="136" t="s">
        <v>428</v>
      </c>
      <c r="J420" s="137" t="s">
        <v>170</v>
      </c>
    </row>
    <row r="421" spans="1:10" ht="15" thickBot="1" x14ac:dyDescent="0.35">
      <c r="A421" s="144"/>
      <c r="B421" s="202"/>
      <c r="C421" s="145" t="s">
        <v>47</v>
      </c>
      <c r="D421" s="145" t="s">
        <v>415</v>
      </c>
      <c r="E421" s="145">
        <v>1000009</v>
      </c>
      <c r="F421" s="145" t="str">
        <f t="shared" si="5"/>
        <v>JordanCRPRNUJO0625002</v>
      </c>
      <c r="G421" s="157" t="s">
        <v>429</v>
      </c>
      <c r="H421" s="166">
        <v>600947</v>
      </c>
      <c r="I421" s="189" t="s">
        <v>430</v>
      </c>
      <c r="J421" s="148" t="s">
        <v>170</v>
      </c>
    </row>
    <row r="422" spans="1:10" x14ac:dyDescent="0.3">
      <c r="A422" s="127" t="s">
        <v>431</v>
      </c>
      <c r="B422" s="200" t="s">
        <v>432</v>
      </c>
      <c r="C422" s="128" t="s">
        <v>47</v>
      </c>
      <c r="D422" s="128" t="s">
        <v>431</v>
      </c>
      <c r="E422" s="128">
        <v>1000687</v>
      </c>
      <c r="F422" s="159" t="str">
        <f t="shared" si="5"/>
        <v>OmanMLPUHHMN0140001</v>
      </c>
      <c r="G422" s="159" t="s">
        <v>75</v>
      </c>
      <c r="H422" s="128">
        <v>16249335</v>
      </c>
      <c r="I422" s="154" t="s">
        <v>76</v>
      </c>
      <c r="J422" s="131" t="s">
        <v>51</v>
      </c>
    </row>
    <row r="423" spans="1:10" x14ac:dyDescent="0.3">
      <c r="A423" s="132"/>
      <c r="B423" s="210"/>
      <c r="C423" s="133" t="s">
        <v>47</v>
      </c>
      <c r="D423" s="133" t="s">
        <v>431</v>
      </c>
      <c r="E423" s="133">
        <v>1000687</v>
      </c>
      <c r="F423" s="138" t="str">
        <f t="shared" si="5"/>
        <v>OmanMLPUHHMN0240001</v>
      </c>
      <c r="G423" s="138" t="s">
        <v>77</v>
      </c>
      <c r="H423" s="133">
        <v>16250335</v>
      </c>
      <c r="I423" s="139" t="s">
        <v>78</v>
      </c>
      <c r="J423" s="137" t="s">
        <v>51</v>
      </c>
    </row>
    <row r="424" spans="1:10" x14ac:dyDescent="0.3">
      <c r="A424" s="132"/>
      <c r="B424" s="210"/>
      <c r="C424" s="133" t="s">
        <v>47</v>
      </c>
      <c r="D424" s="133" t="s">
        <v>431</v>
      </c>
      <c r="E424" s="133">
        <v>1000687</v>
      </c>
      <c r="F424" s="133" t="str">
        <f t="shared" si="5"/>
        <v>OmanMLPUHHMN0340001</v>
      </c>
      <c r="G424" s="133" t="s">
        <v>79</v>
      </c>
      <c r="H424" s="133">
        <v>16251335</v>
      </c>
      <c r="I424" s="136" t="s">
        <v>80</v>
      </c>
      <c r="J424" s="137" t="s">
        <v>51</v>
      </c>
    </row>
    <row r="425" spans="1:10" x14ac:dyDescent="0.3">
      <c r="A425" s="132"/>
      <c r="B425" s="210"/>
      <c r="C425" s="133" t="s">
        <v>47</v>
      </c>
      <c r="D425" s="133" t="s">
        <v>431</v>
      </c>
      <c r="E425" s="133">
        <v>1000687</v>
      </c>
      <c r="F425" s="138" t="str">
        <f t="shared" si="5"/>
        <v>OmanMLPUHHMN0440001</v>
      </c>
      <c r="G425" s="138" t="s">
        <v>81</v>
      </c>
      <c r="H425" s="133">
        <v>16252335</v>
      </c>
      <c r="I425" s="139" t="s">
        <v>82</v>
      </c>
      <c r="J425" s="137" t="s">
        <v>51</v>
      </c>
    </row>
    <row r="426" spans="1:10" x14ac:dyDescent="0.3">
      <c r="A426" s="132"/>
      <c r="B426" s="210"/>
      <c r="C426" s="133" t="s">
        <v>47</v>
      </c>
      <c r="D426" s="133" t="s">
        <v>431</v>
      </c>
      <c r="E426" s="133">
        <v>1000687</v>
      </c>
      <c r="F426" s="138" t="str">
        <f t="shared" si="5"/>
        <v>OmanMLPUHHMN0540001</v>
      </c>
      <c r="G426" s="135" t="s">
        <v>83</v>
      </c>
      <c r="H426" s="135">
        <v>16711335</v>
      </c>
      <c r="I426" s="136" t="s">
        <v>84</v>
      </c>
      <c r="J426" s="137" t="s">
        <v>51</v>
      </c>
    </row>
    <row r="427" spans="1:10" x14ac:dyDescent="0.3">
      <c r="A427" s="132"/>
      <c r="B427" s="210"/>
      <c r="C427" s="133" t="s">
        <v>47</v>
      </c>
      <c r="D427" s="133" t="s">
        <v>431</v>
      </c>
      <c r="E427" s="133">
        <v>1000687</v>
      </c>
      <c r="F427" s="134" t="str">
        <f t="shared" si="5"/>
        <v>OmanMLPUHHMN1140001</v>
      </c>
      <c r="G427" s="134" t="s">
        <v>254</v>
      </c>
      <c r="H427" s="134">
        <v>16313335</v>
      </c>
      <c r="I427" s="139" t="s">
        <v>255</v>
      </c>
      <c r="J427" s="137" t="s">
        <v>51</v>
      </c>
    </row>
    <row r="428" spans="1:10" x14ac:dyDescent="0.3">
      <c r="A428" s="132"/>
      <c r="B428" s="210"/>
      <c r="C428" s="133" t="s">
        <v>47</v>
      </c>
      <c r="D428" s="133" t="s">
        <v>431</v>
      </c>
      <c r="E428" s="133">
        <v>1000687</v>
      </c>
      <c r="F428" s="134" t="str">
        <f t="shared" si="5"/>
        <v>OmanMLPSHHMN1240002</v>
      </c>
      <c r="G428" s="141" t="s">
        <v>121</v>
      </c>
      <c r="H428" s="141">
        <v>16679335</v>
      </c>
      <c r="I428" s="136" t="s">
        <v>122</v>
      </c>
      <c r="J428" s="137" t="s">
        <v>51</v>
      </c>
    </row>
    <row r="429" spans="1:10" ht="15" thickBot="1" x14ac:dyDescent="0.35">
      <c r="A429" s="144"/>
      <c r="B429" s="211"/>
      <c r="C429" s="145" t="s">
        <v>47</v>
      </c>
      <c r="D429" s="145" t="s">
        <v>431</v>
      </c>
      <c r="E429" s="145">
        <v>1000687</v>
      </c>
      <c r="F429" s="165" t="str">
        <f t="shared" si="5"/>
        <v>OmanMLPUFCMN1540001</v>
      </c>
      <c r="G429" s="165" t="s">
        <v>296</v>
      </c>
      <c r="H429" s="145">
        <v>420400</v>
      </c>
      <c r="I429" s="186" t="s">
        <v>297</v>
      </c>
      <c r="J429" s="148" t="s">
        <v>66</v>
      </c>
    </row>
    <row r="430" spans="1:10" x14ac:dyDescent="0.3">
      <c r="A430" s="127" t="s">
        <v>234</v>
      </c>
      <c r="B430" s="200" t="s">
        <v>433</v>
      </c>
      <c r="C430" s="128" t="s">
        <v>47</v>
      </c>
      <c r="D430" s="128" t="s">
        <v>434</v>
      </c>
      <c r="E430" s="128">
        <v>1000854</v>
      </c>
      <c r="F430" s="159" t="str">
        <f t="shared" si="5"/>
        <v>MSFFMLPRHHMN1440001</v>
      </c>
      <c r="G430" s="159" t="s">
        <v>62</v>
      </c>
      <c r="H430" s="128">
        <v>16466305</v>
      </c>
      <c r="I430" s="154" t="s">
        <v>63</v>
      </c>
      <c r="J430" s="131" t="s">
        <v>51</v>
      </c>
    </row>
    <row r="431" spans="1:10" x14ac:dyDescent="0.3">
      <c r="A431" s="132"/>
      <c r="B431" s="210"/>
      <c r="C431" s="133" t="s">
        <v>47</v>
      </c>
      <c r="D431" s="133" t="s">
        <v>434</v>
      </c>
      <c r="E431" s="133">
        <v>1000854</v>
      </c>
      <c r="F431" s="138" t="str">
        <f t="shared" ref="F431:F494" si="6">+_xlfn.CONCAT(D431,G431)</f>
        <v>MSFFMLPSHHMN1240002</v>
      </c>
      <c r="G431" s="138" t="s">
        <v>121</v>
      </c>
      <c r="H431" s="133">
        <v>16679335</v>
      </c>
      <c r="I431" s="139" t="s">
        <v>122</v>
      </c>
      <c r="J431" s="137" t="s">
        <v>51</v>
      </c>
    </row>
    <row r="432" spans="1:10" ht="15" thickBot="1" x14ac:dyDescent="0.35">
      <c r="A432" s="144"/>
      <c r="B432" s="211"/>
      <c r="C432" s="133" t="s">
        <v>47</v>
      </c>
      <c r="D432" s="133" t="s">
        <v>434</v>
      </c>
      <c r="E432" s="133">
        <v>1000855</v>
      </c>
      <c r="F432" s="133" t="str">
        <f t="shared" si="6"/>
        <v>MSFFRFPUESMN0107003</v>
      </c>
      <c r="G432" s="133" t="s">
        <v>279</v>
      </c>
      <c r="H432" s="133">
        <v>1137171</v>
      </c>
      <c r="I432" s="136" t="s">
        <v>280</v>
      </c>
      <c r="J432" s="137" t="s">
        <v>281</v>
      </c>
    </row>
    <row r="433" spans="1:10" x14ac:dyDescent="0.3">
      <c r="A433" s="127" t="s">
        <v>435</v>
      </c>
      <c r="B433" s="200" t="s">
        <v>433</v>
      </c>
      <c r="C433" s="128" t="s">
        <v>47</v>
      </c>
      <c r="D433" s="128" t="s">
        <v>436</v>
      </c>
      <c r="E433" s="128" t="s">
        <v>437</v>
      </c>
      <c r="F433" s="159" t="str">
        <f t="shared" si="6"/>
        <v>MSFBMLPRHHMN1440001</v>
      </c>
      <c r="G433" s="159" t="s">
        <v>62</v>
      </c>
      <c r="H433" s="128">
        <v>16466305</v>
      </c>
      <c r="I433" s="154" t="s">
        <v>63</v>
      </c>
      <c r="J433" s="131" t="s">
        <v>51</v>
      </c>
    </row>
    <row r="434" spans="1:10" x14ac:dyDescent="0.3">
      <c r="A434" s="132"/>
      <c r="B434" s="210"/>
      <c r="C434" s="133" t="s">
        <v>47</v>
      </c>
      <c r="D434" s="133" t="s">
        <v>436</v>
      </c>
      <c r="E434" s="133">
        <v>1000855</v>
      </c>
      <c r="F434" s="138" t="str">
        <f t="shared" si="6"/>
        <v>MSFBMLPSHHMN1240002</v>
      </c>
      <c r="G434" s="138" t="s">
        <v>121</v>
      </c>
      <c r="H434" s="133">
        <v>16679335</v>
      </c>
      <c r="I434" s="139" t="s">
        <v>122</v>
      </c>
      <c r="J434" s="137" t="s">
        <v>51</v>
      </c>
    </row>
    <row r="435" spans="1:10" x14ac:dyDescent="0.3">
      <c r="A435" s="132"/>
      <c r="B435" s="210"/>
      <c r="C435" s="133" t="s">
        <v>47</v>
      </c>
      <c r="D435" s="133" t="s">
        <v>436</v>
      </c>
      <c r="E435" s="133">
        <v>1000855</v>
      </c>
      <c r="F435" s="133" t="str">
        <f t="shared" si="6"/>
        <v>MSFBMLPUHHMN0840001</v>
      </c>
      <c r="G435" s="133" t="s">
        <v>271</v>
      </c>
      <c r="H435" s="133">
        <v>16668335</v>
      </c>
      <c r="I435" s="136" t="s">
        <v>272</v>
      </c>
      <c r="J435" s="137" t="s">
        <v>51</v>
      </c>
    </row>
    <row r="436" spans="1:10" x14ac:dyDescent="0.3">
      <c r="A436" s="132"/>
      <c r="B436" s="210"/>
      <c r="C436" s="133" t="s">
        <v>47</v>
      </c>
      <c r="D436" s="133" t="s">
        <v>436</v>
      </c>
      <c r="E436" s="133">
        <v>1000855</v>
      </c>
      <c r="F436" s="138" t="str">
        <f t="shared" si="6"/>
        <v>MSFBMLPRHHMN1440001</v>
      </c>
      <c r="G436" s="138" t="s">
        <v>62</v>
      </c>
      <c r="H436" s="133">
        <v>16466305</v>
      </c>
      <c r="I436" s="139" t="s">
        <v>63</v>
      </c>
      <c r="J436" s="137" t="s">
        <v>51</v>
      </c>
    </row>
    <row r="437" spans="1:10" ht="15" thickBot="1" x14ac:dyDescent="0.35">
      <c r="A437" s="144"/>
      <c r="B437" s="211"/>
      <c r="C437" s="145" t="s">
        <v>47</v>
      </c>
      <c r="D437" s="145" t="s">
        <v>436</v>
      </c>
      <c r="E437" s="145">
        <v>1000855</v>
      </c>
      <c r="F437" s="165" t="str">
        <f t="shared" si="6"/>
        <v>MSFBMLPRHHMN0190002</v>
      </c>
      <c r="G437" s="146" t="s">
        <v>67</v>
      </c>
      <c r="H437" s="146">
        <v>16454343</v>
      </c>
      <c r="I437" s="147" t="s">
        <v>68</v>
      </c>
      <c r="J437" s="148" t="s">
        <v>51</v>
      </c>
    </row>
    <row r="438" spans="1:10" x14ac:dyDescent="0.3">
      <c r="A438" s="127" t="s">
        <v>438</v>
      </c>
      <c r="B438" s="200" t="s">
        <v>433</v>
      </c>
      <c r="C438" s="128" t="s">
        <v>47</v>
      </c>
      <c r="D438" s="128" t="s">
        <v>439</v>
      </c>
      <c r="E438" s="128" t="s">
        <v>440</v>
      </c>
      <c r="F438" s="159" t="str">
        <f t="shared" si="6"/>
        <v>MSFHMLPRHHMN1440001</v>
      </c>
      <c r="G438" s="159" t="s">
        <v>62</v>
      </c>
      <c r="H438" s="128">
        <v>16466305</v>
      </c>
      <c r="I438" s="154" t="s">
        <v>63</v>
      </c>
      <c r="J438" s="131" t="s">
        <v>51</v>
      </c>
    </row>
    <row r="439" spans="1:10" ht="15" thickBot="1" x14ac:dyDescent="0.35">
      <c r="A439" s="144"/>
      <c r="B439" s="211"/>
      <c r="C439" s="133" t="s">
        <v>47</v>
      </c>
      <c r="D439" s="133" t="s">
        <v>439</v>
      </c>
      <c r="E439" s="133">
        <v>1000856</v>
      </c>
      <c r="F439" s="138" t="str">
        <f t="shared" si="6"/>
        <v>MSFHMLPSHHMN1240002</v>
      </c>
      <c r="G439" s="138" t="s">
        <v>121</v>
      </c>
      <c r="H439" s="133">
        <v>16679335</v>
      </c>
      <c r="I439" s="139" t="s">
        <v>122</v>
      </c>
      <c r="J439" s="137" t="s">
        <v>51</v>
      </c>
    </row>
    <row r="440" spans="1:10" x14ac:dyDescent="0.3">
      <c r="A440" s="127" t="s">
        <v>441</v>
      </c>
      <c r="B440" s="200" t="s">
        <v>442</v>
      </c>
      <c r="C440" s="128" t="s">
        <v>47</v>
      </c>
      <c r="D440" s="128" t="s">
        <v>441</v>
      </c>
      <c r="E440" s="128">
        <v>1000516</v>
      </c>
      <c r="F440" s="149" t="str">
        <f t="shared" si="6"/>
        <v>EcuadorMLPUHHLA0140001</v>
      </c>
      <c r="G440" s="149" t="s">
        <v>443</v>
      </c>
      <c r="H440" s="128">
        <v>16541335</v>
      </c>
      <c r="I440" s="154" t="s">
        <v>444</v>
      </c>
      <c r="J440" s="131" t="s">
        <v>51</v>
      </c>
    </row>
    <row r="441" spans="1:10" x14ac:dyDescent="0.3">
      <c r="A441" s="132"/>
      <c r="B441" s="201"/>
      <c r="C441" s="133" t="s">
        <v>47</v>
      </c>
      <c r="D441" s="133" t="s">
        <v>441</v>
      </c>
      <c r="E441" s="133">
        <v>1000516</v>
      </c>
      <c r="F441" s="133" t="str">
        <f t="shared" si="6"/>
        <v>EcuadorMLPUHHLA0180001</v>
      </c>
      <c r="G441" s="133" t="s">
        <v>445</v>
      </c>
      <c r="H441" s="133">
        <v>16541341</v>
      </c>
      <c r="I441" s="136" t="s">
        <v>446</v>
      </c>
      <c r="J441" s="137" t="s">
        <v>51</v>
      </c>
    </row>
    <row r="442" spans="1:10" x14ac:dyDescent="0.3">
      <c r="A442" s="132"/>
      <c r="B442" s="201"/>
      <c r="C442" s="133" t="s">
        <v>47</v>
      </c>
      <c r="D442" s="133" t="s">
        <v>441</v>
      </c>
      <c r="E442" s="133">
        <v>1000516</v>
      </c>
      <c r="F442" s="153" t="str">
        <f t="shared" si="6"/>
        <v>EcuadorMLPUHHLA0240001</v>
      </c>
      <c r="G442" s="153" t="s">
        <v>447</v>
      </c>
      <c r="H442" s="133">
        <v>16588335</v>
      </c>
      <c r="I442" s="139" t="s">
        <v>448</v>
      </c>
      <c r="J442" s="137" t="s">
        <v>51</v>
      </c>
    </row>
    <row r="443" spans="1:10" x14ac:dyDescent="0.3">
      <c r="A443" s="132"/>
      <c r="B443" s="201"/>
      <c r="C443" s="133" t="s">
        <v>47</v>
      </c>
      <c r="D443" s="133" t="s">
        <v>441</v>
      </c>
      <c r="E443" s="133">
        <v>1000516</v>
      </c>
      <c r="F443" s="143" t="str">
        <f t="shared" si="6"/>
        <v>EcuadorMLPUHHLA0280001</v>
      </c>
      <c r="G443" s="143" t="s">
        <v>449</v>
      </c>
      <c r="H443" s="133">
        <v>16588341</v>
      </c>
      <c r="I443" s="136" t="s">
        <v>450</v>
      </c>
      <c r="J443" s="137" t="s">
        <v>51</v>
      </c>
    </row>
    <row r="444" spans="1:10" x14ac:dyDescent="0.3">
      <c r="A444" s="132"/>
      <c r="B444" s="201"/>
      <c r="C444" s="133" t="s">
        <v>47</v>
      </c>
      <c r="D444" s="133" t="s">
        <v>441</v>
      </c>
      <c r="E444" s="133">
        <v>1000516</v>
      </c>
      <c r="F444" s="141" t="str">
        <f t="shared" si="6"/>
        <v>EcuadorMLPUHHLA0340001</v>
      </c>
      <c r="G444" s="141" t="s">
        <v>451</v>
      </c>
      <c r="H444" s="133">
        <v>16543335</v>
      </c>
      <c r="I444" s="139" t="s">
        <v>452</v>
      </c>
      <c r="J444" s="137" t="s">
        <v>51</v>
      </c>
    </row>
    <row r="445" spans="1:10" x14ac:dyDescent="0.3">
      <c r="A445" s="132"/>
      <c r="B445" s="201"/>
      <c r="C445" s="133" t="s">
        <v>47</v>
      </c>
      <c r="D445" s="133" t="s">
        <v>441</v>
      </c>
      <c r="E445" s="133">
        <v>1000516</v>
      </c>
      <c r="F445" s="141" t="str">
        <f t="shared" si="6"/>
        <v>EcuadorMLPUHHLA0380001</v>
      </c>
      <c r="G445" s="141" t="s">
        <v>453</v>
      </c>
      <c r="H445" s="133">
        <v>16543341</v>
      </c>
      <c r="I445" s="136" t="s">
        <v>454</v>
      </c>
      <c r="J445" s="137" t="s">
        <v>51</v>
      </c>
    </row>
    <row r="446" spans="1:10" x14ac:dyDescent="0.3">
      <c r="A446" s="132"/>
      <c r="B446" s="201"/>
      <c r="C446" s="133" t="s">
        <v>47</v>
      </c>
      <c r="D446" s="133" t="s">
        <v>441</v>
      </c>
      <c r="E446" s="133">
        <v>1000516</v>
      </c>
      <c r="F446" s="141" t="str">
        <f t="shared" si="6"/>
        <v>EcuadorMLPUHHLA0440001</v>
      </c>
      <c r="G446" s="141" t="s">
        <v>455</v>
      </c>
      <c r="H446" s="133">
        <v>16545335</v>
      </c>
      <c r="I446" s="139" t="s">
        <v>456</v>
      </c>
      <c r="J446" s="137" t="s">
        <v>51</v>
      </c>
    </row>
    <row r="447" spans="1:10" x14ac:dyDescent="0.3">
      <c r="A447" s="132"/>
      <c r="B447" s="201"/>
      <c r="C447" s="133" t="s">
        <v>47</v>
      </c>
      <c r="D447" s="133" t="s">
        <v>441</v>
      </c>
      <c r="E447" s="133">
        <v>1000516</v>
      </c>
      <c r="F447" s="133" t="str">
        <f t="shared" si="6"/>
        <v>EcuadorMLPUHHLA0480001</v>
      </c>
      <c r="G447" s="133" t="s">
        <v>457</v>
      </c>
      <c r="H447" s="135">
        <v>16545341</v>
      </c>
      <c r="I447" s="136" t="s">
        <v>458</v>
      </c>
      <c r="J447" s="137" t="s">
        <v>51</v>
      </c>
    </row>
    <row r="448" spans="1:10" x14ac:dyDescent="0.3">
      <c r="A448" s="132"/>
      <c r="B448" s="201"/>
      <c r="C448" s="133" t="s">
        <v>47</v>
      </c>
      <c r="D448" s="133" t="s">
        <v>441</v>
      </c>
      <c r="E448" s="133">
        <v>1000516</v>
      </c>
      <c r="F448" s="141" t="str">
        <f t="shared" si="6"/>
        <v>EcuadorMLPUHHLA1240001</v>
      </c>
      <c r="G448" s="134" t="s">
        <v>459</v>
      </c>
      <c r="H448" s="134">
        <v>16544335</v>
      </c>
      <c r="I448" s="140" t="s">
        <v>460</v>
      </c>
      <c r="J448" s="137" t="s">
        <v>51</v>
      </c>
    </row>
    <row r="449" spans="1:10" x14ac:dyDescent="0.3">
      <c r="A449" s="132"/>
      <c r="B449" s="201"/>
      <c r="C449" s="133" t="s">
        <v>47</v>
      </c>
      <c r="D449" s="133" t="s">
        <v>441</v>
      </c>
      <c r="E449" s="133">
        <v>1000516</v>
      </c>
      <c r="F449" s="141" t="str">
        <f t="shared" si="6"/>
        <v>EcuadorMLPUHHLA1280001</v>
      </c>
      <c r="G449" s="134" t="s">
        <v>461</v>
      </c>
      <c r="H449" s="134">
        <v>16544341</v>
      </c>
      <c r="I449" s="140" t="s">
        <v>462</v>
      </c>
      <c r="J449" s="137" t="s">
        <v>51</v>
      </c>
    </row>
    <row r="450" spans="1:10" x14ac:dyDescent="0.3">
      <c r="A450" s="132"/>
      <c r="B450" s="201"/>
      <c r="C450" s="133" t="s">
        <v>47</v>
      </c>
      <c r="D450" s="133" t="s">
        <v>441</v>
      </c>
      <c r="E450" s="133">
        <v>1000516</v>
      </c>
      <c r="F450" s="141" t="str">
        <f t="shared" si="6"/>
        <v>EcuadorMLPUHHLA0540001</v>
      </c>
      <c r="G450" s="138" t="s">
        <v>463</v>
      </c>
      <c r="H450" s="135">
        <v>16546335</v>
      </c>
      <c r="I450" s="181" t="s">
        <v>464</v>
      </c>
      <c r="J450" s="137" t="s">
        <v>51</v>
      </c>
    </row>
    <row r="451" spans="1:10" x14ac:dyDescent="0.3">
      <c r="A451" s="132"/>
      <c r="B451" s="201"/>
      <c r="C451" s="133" t="s">
        <v>47</v>
      </c>
      <c r="D451" s="133" t="s">
        <v>441</v>
      </c>
      <c r="E451" s="133">
        <v>1000516</v>
      </c>
      <c r="F451" s="133" t="str">
        <f t="shared" si="6"/>
        <v>EcuadorMLPUHHLA1140001</v>
      </c>
      <c r="G451" s="141" t="s">
        <v>465</v>
      </c>
      <c r="H451" s="133">
        <v>16548335</v>
      </c>
      <c r="I451" s="139" t="s">
        <v>466</v>
      </c>
      <c r="J451" s="137" t="s">
        <v>51</v>
      </c>
    </row>
    <row r="452" spans="1:10" x14ac:dyDescent="0.3">
      <c r="A452" s="132"/>
      <c r="B452" s="201"/>
      <c r="C452" s="133" t="s">
        <v>47</v>
      </c>
      <c r="D452" s="133" t="s">
        <v>441</v>
      </c>
      <c r="E452" s="133">
        <v>1000516</v>
      </c>
      <c r="F452" s="141" t="str">
        <f t="shared" si="6"/>
        <v>EcuadorMLPUHHLA1440002</v>
      </c>
      <c r="G452" s="134" t="s">
        <v>467</v>
      </c>
      <c r="H452" s="134">
        <v>16686335</v>
      </c>
      <c r="I452" s="140" t="s">
        <v>468</v>
      </c>
      <c r="J452" s="137" t="s">
        <v>51</v>
      </c>
    </row>
    <row r="453" spans="1:10" x14ac:dyDescent="0.3">
      <c r="A453" s="132"/>
      <c r="B453" s="201"/>
      <c r="C453" s="133" t="s">
        <v>47</v>
      </c>
      <c r="D453" s="133" t="s">
        <v>441</v>
      </c>
      <c r="E453" s="133">
        <v>1000516</v>
      </c>
      <c r="F453" s="141" t="str">
        <f t="shared" si="6"/>
        <v>EcuadorMLPUHHLA0840001</v>
      </c>
      <c r="G453" s="134" t="s">
        <v>469</v>
      </c>
      <c r="H453" s="134">
        <v>16671335</v>
      </c>
      <c r="I453" s="140" t="s">
        <v>470</v>
      </c>
      <c r="J453" s="137" t="s">
        <v>51</v>
      </c>
    </row>
    <row r="454" spans="1:10" x14ac:dyDescent="0.3">
      <c r="A454" s="132"/>
      <c r="B454" s="201"/>
      <c r="C454" s="133" t="s">
        <v>47</v>
      </c>
      <c r="D454" s="133" t="s">
        <v>441</v>
      </c>
      <c r="E454" s="133">
        <v>1000516</v>
      </c>
      <c r="F454" s="141" t="str">
        <f t="shared" si="6"/>
        <v>EcuadorMLPSHHLA1240001</v>
      </c>
      <c r="G454" s="141" t="s">
        <v>471</v>
      </c>
      <c r="H454" s="133">
        <v>16553335</v>
      </c>
      <c r="I454" s="139" t="s">
        <v>472</v>
      </c>
      <c r="J454" s="137" t="s">
        <v>51</v>
      </c>
    </row>
    <row r="455" spans="1:10" x14ac:dyDescent="0.3">
      <c r="A455" s="132"/>
      <c r="B455" s="201"/>
      <c r="C455" s="133" t="s">
        <v>47</v>
      </c>
      <c r="D455" s="133" t="s">
        <v>441</v>
      </c>
      <c r="E455" s="133">
        <v>1000516</v>
      </c>
      <c r="F455" s="133" t="str">
        <f t="shared" si="6"/>
        <v>EcuadorMLPSHHLA1280001</v>
      </c>
      <c r="G455" s="141" t="s">
        <v>473</v>
      </c>
      <c r="H455" s="133">
        <v>16553341</v>
      </c>
      <c r="I455" s="139" t="s">
        <v>474</v>
      </c>
      <c r="J455" s="137" t="s">
        <v>51</v>
      </c>
    </row>
    <row r="456" spans="1:10" x14ac:dyDescent="0.3">
      <c r="A456" s="132"/>
      <c r="B456" s="201"/>
      <c r="C456" s="133" t="s">
        <v>47</v>
      </c>
      <c r="D456" s="133" t="s">
        <v>441</v>
      </c>
      <c r="E456" s="133">
        <v>1000516</v>
      </c>
      <c r="F456" s="141" t="str">
        <f t="shared" si="6"/>
        <v>EcuadorMLPUHHLA0302801</v>
      </c>
      <c r="G456" s="134" t="s">
        <v>475</v>
      </c>
      <c r="H456" s="134">
        <v>16543913</v>
      </c>
      <c r="I456" s="140" t="s">
        <v>476</v>
      </c>
      <c r="J456" s="137" t="s">
        <v>51</v>
      </c>
    </row>
    <row r="457" spans="1:10" x14ac:dyDescent="0.3">
      <c r="A457" s="132"/>
      <c r="B457" s="201"/>
      <c r="C457" s="133" t="s">
        <v>47</v>
      </c>
      <c r="D457" s="133" t="s">
        <v>441</v>
      </c>
      <c r="E457" s="133">
        <v>1000516</v>
      </c>
      <c r="F457" s="141" t="str">
        <f t="shared" si="6"/>
        <v>EcuadorMLPSHHLA1204201</v>
      </c>
      <c r="G457" s="182" t="s">
        <v>477</v>
      </c>
      <c r="H457" s="182">
        <v>16553916</v>
      </c>
      <c r="I457" s="152" t="s">
        <v>478</v>
      </c>
      <c r="J457" s="137" t="s">
        <v>51</v>
      </c>
    </row>
    <row r="458" spans="1:10" x14ac:dyDescent="0.3">
      <c r="A458" s="132"/>
      <c r="B458" s="201"/>
      <c r="C458" s="133" t="s">
        <v>47</v>
      </c>
      <c r="D458" s="133" t="s">
        <v>441</v>
      </c>
      <c r="E458" s="133">
        <v>1000516</v>
      </c>
      <c r="F458" s="141" t="str">
        <f t="shared" si="6"/>
        <v>EcuadorMLPUFCLA1540001</v>
      </c>
      <c r="G458" s="141" t="s">
        <v>479</v>
      </c>
      <c r="H458" s="133">
        <v>420495</v>
      </c>
      <c r="I458" s="139" t="s">
        <v>480</v>
      </c>
      <c r="J458" s="137" t="s">
        <v>66</v>
      </c>
    </row>
    <row r="459" spans="1:10" x14ac:dyDescent="0.3">
      <c r="A459" s="132"/>
      <c r="B459" s="201"/>
      <c r="C459" s="133" t="s">
        <v>47</v>
      </c>
      <c r="D459" s="133" t="s">
        <v>441</v>
      </c>
      <c r="E459" s="133">
        <v>1000516</v>
      </c>
      <c r="F459" s="141" t="str">
        <f t="shared" si="6"/>
        <v xml:space="preserve">EcuadorRFPUESLA0107001 </v>
      </c>
      <c r="G459" s="153" t="s">
        <v>481</v>
      </c>
      <c r="H459" s="141">
        <v>1137271</v>
      </c>
      <c r="I459" s="136" t="s">
        <v>482</v>
      </c>
      <c r="J459" s="137" t="s">
        <v>281</v>
      </c>
    </row>
    <row r="460" spans="1:10" ht="15" thickBot="1" x14ac:dyDescent="0.35">
      <c r="A460" s="144"/>
      <c r="B460" s="202"/>
      <c r="C460" s="145" t="s">
        <v>47</v>
      </c>
      <c r="D460" s="145" t="s">
        <v>441</v>
      </c>
      <c r="E460" s="145">
        <v>1000516</v>
      </c>
      <c r="F460" s="157" t="str">
        <f t="shared" si="6"/>
        <v>EcuadorRFPRESMN1007002</v>
      </c>
      <c r="G460" s="190" t="s">
        <v>284</v>
      </c>
      <c r="H460" s="157">
        <v>10892</v>
      </c>
      <c r="I460" s="147" t="s">
        <v>285</v>
      </c>
      <c r="J460" s="148" t="s">
        <v>281</v>
      </c>
    </row>
    <row r="461" spans="1:10" x14ac:dyDescent="0.3">
      <c r="A461" s="127" t="s">
        <v>483</v>
      </c>
      <c r="B461" s="200" t="s">
        <v>484</v>
      </c>
      <c r="C461" s="128" t="s">
        <v>47</v>
      </c>
      <c r="D461" s="128" t="s">
        <v>483</v>
      </c>
      <c r="E461" s="128">
        <v>1000961</v>
      </c>
      <c r="F461" s="149" t="str">
        <f t="shared" si="6"/>
        <v>ParaguayMLPUHHLA0140001</v>
      </c>
      <c r="G461" s="149" t="s">
        <v>443</v>
      </c>
      <c r="H461" s="128">
        <v>16541335</v>
      </c>
      <c r="I461" s="154" t="s">
        <v>444</v>
      </c>
      <c r="J461" s="131" t="s">
        <v>51</v>
      </c>
    </row>
    <row r="462" spans="1:10" x14ac:dyDescent="0.3">
      <c r="A462" s="132"/>
      <c r="B462" s="201"/>
      <c r="C462" s="133" t="s">
        <v>47</v>
      </c>
      <c r="D462" s="133" t="s">
        <v>483</v>
      </c>
      <c r="E462" s="133">
        <v>1000961</v>
      </c>
      <c r="F462" s="133" t="str">
        <f t="shared" si="6"/>
        <v>ParaguayMLPUHHLA0180001</v>
      </c>
      <c r="G462" s="133" t="s">
        <v>445</v>
      </c>
      <c r="H462" s="133">
        <v>16541341</v>
      </c>
      <c r="I462" s="136" t="s">
        <v>446</v>
      </c>
      <c r="J462" s="137" t="s">
        <v>51</v>
      </c>
    </row>
    <row r="463" spans="1:10" x14ac:dyDescent="0.3">
      <c r="A463" s="132"/>
      <c r="B463" s="201"/>
      <c r="C463" s="133" t="s">
        <v>47</v>
      </c>
      <c r="D463" s="133" t="s">
        <v>483</v>
      </c>
      <c r="E463" s="133">
        <v>1000961</v>
      </c>
      <c r="F463" s="153" t="str">
        <f t="shared" si="6"/>
        <v>ParaguayMLPUHHLA0240001</v>
      </c>
      <c r="G463" s="153" t="s">
        <v>447</v>
      </c>
      <c r="H463" s="133">
        <v>16588335</v>
      </c>
      <c r="I463" s="139" t="s">
        <v>448</v>
      </c>
      <c r="J463" s="137" t="s">
        <v>51</v>
      </c>
    </row>
    <row r="464" spans="1:10" x14ac:dyDescent="0.3">
      <c r="A464" s="132"/>
      <c r="B464" s="201"/>
      <c r="C464" s="133" t="s">
        <v>47</v>
      </c>
      <c r="D464" s="133" t="s">
        <v>483</v>
      </c>
      <c r="E464" s="133">
        <v>1000961</v>
      </c>
      <c r="F464" s="143" t="str">
        <f t="shared" si="6"/>
        <v>ParaguayMLPUHHLA0280001</v>
      </c>
      <c r="G464" s="143" t="s">
        <v>449</v>
      </c>
      <c r="H464" s="133">
        <v>16588341</v>
      </c>
      <c r="I464" s="136" t="s">
        <v>450</v>
      </c>
      <c r="J464" s="137" t="s">
        <v>51</v>
      </c>
    </row>
    <row r="465" spans="1:10" x14ac:dyDescent="0.3">
      <c r="A465" s="132"/>
      <c r="B465" s="201"/>
      <c r="C465" s="133" t="s">
        <v>47</v>
      </c>
      <c r="D465" s="133" t="s">
        <v>483</v>
      </c>
      <c r="E465" s="133">
        <v>1000961</v>
      </c>
      <c r="F465" s="141" t="str">
        <f t="shared" si="6"/>
        <v>ParaguayMLPUHHLA0340001</v>
      </c>
      <c r="G465" s="141" t="s">
        <v>451</v>
      </c>
      <c r="H465" s="133">
        <v>16543335</v>
      </c>
      <c r="I465" s="139" t="s">
        <v>452</v>
      </c>
      <c r="J465" s="137" t="s">
        <v>51</v>
      </c>
    </row>
    <row r="466" spans="1:10" x14ac:dyDescent="0.3">
      <c r="A466" s="132"/>
      <c r="B466" s="201"/>
      <c r="C466" s="133" t="s">
        <v>47</v>
      </c>
      <c r="D466" s="133" t="s">
        <v>483</v>
      </c>
      <c r="E466" s="133">
        <v>1000961</v>
      </c>
      <c r="F466" s="141" t="str">
        <f t="shared" si="6"/>
        <v>ParaguayMLPUHHLA0380001</v>
      </c>
      <c r="G466" s="141" t="s">
        <v>453</v>
      </c>
      <c r="H466" s="133">
        <v>16543341</v>
      </c>
      <c r="I466" s="136" t="s">
        <v>454</v>
      </c>
      <c r="J466" s="137" t="s">
        <v>51</v>
      </c>
    </row>
    <row r="467" spans="1:10" x14ac:dyDescent="0.3">
      <c r="A467" s="132"/>
      <c r="B467" s="201"/>
      <c r="C467" s="133" t="s">
        <v>47</v>
      </c>
      <c r="D467" s="133" t="s">
        <v>483</v>
      </c>
      <c r="E467" s="133">
        <v>1000961</v>
      </c>
      <c r="F467" s="141" t="str">
        <f t="shared" si="6"/>
        <v>ParaguayMLPUHHLA0440001</v>
      </c>
      <c r="G467" s="141" t="s">
        <v>455</v>
      </c>
      <c r="H467" s="133">
        <v>16545335</v>
      </c>
      <c r="I467" s="139" t="s">
        <v>456</v>
      </c>
      <c r="J467" s="137" t="s">
        <v>51</v>
      </c>
    </row>
    <row r="468" spans="1:10" x14ac:dyDescent="0.3">
      <c r="A468" s="132"/>
      <c r="B468" s="201"/>
      <c r="C468" s="133" t="s">
        <v>47</v>
      </c>
      <c r="D468" s="133" t="s">
        <v>483</v>
      </c>
      <c r="E468" s="133">
        <v>1000961</v>
      </c>
      <c r="F468" s="141" t="str">
        <f t="shared" si="6"/>
        <v>ParaguayMLPUHHLA0480001</v>
      </c>
      <c r="G468" s="133" t="s">
        <v>457</v>
      </c>
      <c r="H468" s="135">
        <v>16545341</v>
      </c>
      <c r="I468" s="136" t="s">
        <v>458</v>
      </c>
      <c r="J468" s="137" t="s">
        <v>51</v>
      </c>
    </row>
    <row r="469" spans="1:10" x14ac:dyDescent="0.3">
      <c r="A469" s="132"/>
      <c r="B469" s="201"/>
      <c r="C469" s="133" t="s">
        <v>47</v>
      </c>
      <c r="D469" s="133" t="s">
        <v>483</v>
      </c>
      <c r="E469" s="133">
        <v>1000961</v>
      </c>
      <c r="F469" s="153" t="str">
        <f t="shared" si="6"/>
        <v>ParaguayMLPUHHLA1240001</v>
      </c>
      <c r="G469" s="134" t="s">
        <v>459</v>
      </c>
      <c r="H469" s="134">
        <v>16544335</v>
      </c>
      <c r="I469" s="140" t="s">
        <v>460</v>
      </c>
      <c r="J469" s="137" t="s">
        <v>51</v>
      </c>
    </row>
    <row r="470" spans="1:10" x14ac:dyDescent="0.3">
      <c r="A470" s="132"/>
      <c r="B470" s="201"/>
      <c r="C470" s="133" t="s">
        <v>47</v>
      </c>
      <c r="D470" s="133" t="s">
        <v>483</v>
      </c>
      <c r="E470" s="133">
        <v>1000961</v>
      </c>
      <c r="F470" s="143" t="str">
        <f t="shared" si="6"/>
        <v>ParaguayMLPUHHLA1280001</v>
      </c>
      <c r="G470" s="134" t="s">
        <v>461</v>
      </c>
      <c r="H470" s="134">
        <v>16544341</v>
      </c>
      <c r="I470" s="140" t="s">
        <v>462</v>
      </c>
      <c r="J470" s="137" t="s">
        <v>51</v>
      </c>
    </row>
    <row r="471" spans="1:10" x14ac:dyDescent="0.3">
      <c r="A471" s="132"/>
      <c r="B471" s="201"/>
      <c r="C471" s="133" t="s">
        <v>47</v>
      </c>
      <c r="D471" s="133" t="s">
        <v>483</v>
      </c>
      <c r="E471" s="133">
        <v>1000961</v>
      </c>
      <c r="F471" s="141" t="str">
        <f t="shared" si="6"/>
        <v>ParaguayMLPUHHLA0540001</v>
      </c>
      <c r="G471" s="138" t="s">
        <v>463</v>
      </c>
      <c r="H471" s="135">
        <v>16546335</v>
      </c>
      <c r="I471" s="181" t="s">
        <v>464</v>
      </c>
      <c r="J471" s="137" t="s">
        <v>51</v>
      </c>
    </row>
    <row r="472" spans="1:10" x14ac:dyDescent="0.3">
      <c r="A472" s="132"/>
      <c r="B472" s="201"/>
      <c r="C472" s="133" t="s">
        <v>47</v>
      </c>
      <c r="D472" s="133" t="s">
        <v>483</v>
      </c>
      <c r="E472" s="133">
        <v>1000961</v>
      </c>
      <c r="F472" s="141" t="str">
        <f t="shared" si="6"/>
        <v>ParaguayMLPUHHLA1140001</v>
      </c>
      <c r="G472" s="133" t="s">
        <v>465</v>
      </c>
      <c r="H472" s="133">
        <v>16548335</v>
      </c>
      <c r="I472" s="139" t="s">
        <v>466</v>
      </c>
      <c r="J472" s="137" t="s">
        <v>51</v>
      </c>
    </row>
    <row r="473" spans="1:10" x14ac:dyDescent="0.3">
      <c r="A473" s="132"/>
      <c r="B473" s="201"/>
      <c r="C473" s="133" t="s">
        <v>47</v>
      </c>
      <c r="D473" s="133" t="s">
        <v>483</v>
      </c>
      <c r="E473" s="133">
        <v>1000961</v>
      </c>
      <c r="F473" s="153" t="str">
        <f t="shared" si="6"/>
        <v>ParaguayMLPUHHLA1440002</v>
      </c>
      <c r="G473" s="134" t="s">
        <v>467</v>
      </c>
      <c r="H473" s="134">
        <v>16686335</v>
      </c>
      <c r="I473" s="140" t="s">
        <v>468</v>
      </c>
      <c r="J473" s="137" t="s">
        <v>51</v>
      </c>
    </row>
    <row r="474" spans="1:10" x14ac:dyDescent="0.3">
      <c r="A474" s="132"/>
      <c r="B474" s="201"/>
      <c r="C474" s="133" t="s">
        <v>47</v>
      </c>
      <c r="D474" s="133" t="s">
        <v>483</v>
      </c>
      <c r="E474" s="133">
        <v>1000961</v>
      </c>
      <c r="F474" s="143" t="str">
        <f t="shared" si="6"/>
        <v>ParaguayMLPUHHLA0840001</v>
      </c>
      <c r="G474" s="134" t="s">
        <v>469</v>
      </c>
      <c r="H474" s="134">
        <v>16671335</v>
      </c>
      <c r="I474" s="140" t="s">
        <v>470</v>
      </c>
      <c r="J474" s="137" t="s">
        <v>51</v>
      </c>
    </row>
    <row r="475" spans="1:10" x14ac:dyDescent="0.3">
      <c r="A475" s="132"/>
      <c r="B475" s="201"/>
      <c r="C475" s="133" t="s">
        <v>47</v>
      </c>
      <c r="D475" s="133" t="s">
        <v>483</v>
      </c>
      <c r="E475" s="133">
        <v>1000961</v>
      </c>
      <c r="F475" s="141" t="str">
        <f t="shared" si="6"/>
        <v>ParaguayMLPSHHLA1240001</v>
      </c>
      <c r="G475" s="141" t="s">
        <v>471</v>
      </c>
      <c r="H475" s="133">
        <v>16553335</v>
      </c>
      <c r="I475" s="136" t="s">
        <v>472</v>
      </c>
      <c r="J475" s="137" t="s">
        <v>51</v>
      </c>
    </row>
    <row r="476" spans="1:10" x14ac:dyDescent="0.3">
      <c r="A476" s="132"/>
      <c r="B476" s="201"/>
      <c r="C476" s="133" t="s">
        <v>47</v>
      </c>
      <c r="D476" s="133" t="s">
        <v>483</v>
      </c>
      <c r="E476" s="133">
        <v>1000961</v>
      </c>
      <c r="F476" s="141" t="str">
        <f t="shared" si="6"/>
        <v>ParaguayMLPSHHLA1280001</v>
      </c>
      <c r="G476" s="141" t="s">
        <v>473</v>
      </c>
      <c r="H476" s="133">
        <v>16553341</v>
      </c>
      <c r="I476" s="139" t="s">
        <v>474</v>
      </c>
      <c r="J476" s="137" t="s">
        <v>51</v>
      </c>
    </row>
    <row r="477" spans="1:10" x14ac:dyDescent="0.3">
      <c r="A477" s="132"/>
      <c r="B477" s="201"/>
      <c r="C477" s="133" t="s">
        <v>47</v>
      </c>
      <c r="D477" s="133" t="s">
        <v>483</v>
      </c>
      <c r="E477" s="133">
        <v>1000961</v>
      </c>
      <c r="F477" s="153" t="str">
        <f t="shared" si="6"/>
        <v>ParaguayMLPUHHLA0302801</v>
      </c>
      <c r="G477" s="134" t="s">
        <v>475</v>
      </c>
      <c r="H477" s="134">
        <v>16543913</v>
      </c>
      <c r="I477" s="140" t="s">
        <v>476</v>
      </c>
      <c r="J477" s="137" t="s">
        <v>51</v>
      </c>
    </row>
    <row r="478" spans="1:10" x14ac:dyDescent="0.3">
      <c r="A478" s="132"/>
      <c r="B478" s="201"/>
      <c r="C478" s="133" t="s">
        <v>47</v>
      </c>
      <c r="D478" s="133" t="s">
        <v>483</v>
      </c>
      <c r="E478" s="133">
        <v>1000961</v>
      </c>
      <c r="F478" s="143" t="str">
        <f t="shared" si="6"/>
        <v>ParaguayMLPSHHLA1204201</v>
      </c>
      <c r="G478" s="182" t="s">
        <v>477</v>
      </c>
      <c r="H478" s="182">
        <v>16553916</v>
      </c>
      <c r="I478" s="152" t="s">
        <v>478</v>
      </c>
      <c r="J478" s="137" t="s">
        <v>51</v>
      </c>
    </row>
    <row r="479" spans="1:10" x14ac:dyDescent="0.3">
      <c r="A479" s="132"/>
      <c r="B479" s="201"/>
      <c r="C479" s="133" t="s">
        <v>47</v>
      </c>
      <c r="D479" s="133" t="s">
        <v>483</v>
      </c>
      <c r="E479" s="133">
        <v>1000961</v>
      </c>
      <c r="F479" s="141" t="str">
        <f t="shared" si="6"/>
        <v>ParaguayMLPUFCLA1540001</v>
      </c>
      <c r="G479" s="141" t="s">
        <v>479</v>
      </c>
      <c r="H479" s="133">
        <v>420495</v>
      </c>
      <c r="I479" s="136" t="s">
        <v>480</v>
      </c>
      <c r="J479" s="137" t="s">
        <v>66</v>
      </c>
    </row>
    <row r="480" spans="1:10" x14ac:dyDescent="0.3">
      <c r="A480" s="132"/>
      <c r="B480" s="201"/>
      <c r="C480" s="133" t="s">
        <v>47</v>
      </c>
      <c r="D480" s="133" t="s">
        <v>483</v>
      </c>
      <c r="E480" s="133">
        <v>1000961</v>
      </c>
      <c r="F480" s="141" t="str">
        <f t="shared" si="6"/>
        <v xml:space="preserve">ParaguayRFPUESLA0107001 </v>
      </c>
      <c r="G480" s="153" t="s">
        <v>481</v>
      </c>
      <c r="H480" s="141">
        <v>1137271</v>
      </c>
      <c r="I480" s="136" t="s">
        <v>482</v>
      </c>
      <c r="J480" s="137" t="s">
        <v>281</v>
      </c>
    </row>
    <row r="481" spans="1:10" ht="15" thickBot="1" x14ac:dyDescent="0.35">
      <c r="A481" s="144"/>
      <c r="B481" s="202"/>
      <c r="C481" s="145" t="s">
        <v>47</v>
      </c>
      <c r="D481" s="145" t="s">
        <v>483</v>
      </c>
      <c r="E481" s="145">
        <v>1000961</v>
      </c>
      <c r="F481" s="157" t="str">
        <f t="shared" si="6"/>
        <v>ParaguayRFPRESMN1007002</v>
      </c>
      <c r="G481" s="190" t="s">
        <v>284</v>
      </c>
      <c r="H481" s="157">
        <v>10892</v>
      </c>
      <c r="I481" s="147" t="s">
        <v>285</v>
      </c>
      <c r="J481" s="148" t="s">
        <v>281</v>
      </c>
    </row>
    <row r="482" spans="1:10" x14ac:dyDescent="0.3">
      <c r="A482" s="127" t="s">
        <v>485</v>
      </c>
      <c r="B482" s="200" t="s">
        <v>486</v>
      </c>
      <c r="C482" s="128" t="s">
        <v>47</v>
      </c>
      <c r="D482" s="128" t="s">
        <v>485</v>
      </c>
      <c r="E482" s="128">
        <v>1000729</v>
      </c>
      <c r="F482" s="149" t="str">
        <f t="shared" si="6"/>
        <v>BoliviaMLPUHHLA0140001</v>
      </c>
      <c r="G482" s="149" t="s">
        <v>443</v>
      </c>
      <c r="H482" s="128">
        <v>16541335</v>
      </c>
      <c r="I482" s="154" t="s">
        <v>444</v>
      </c>
      <c r="J482" s="131" t="s">
        <v>51</v>
      </c>
    </row>
    <row r="483" spans="1:10" x14ac:dyDescent="0.3">
      <c r="A483" s="132"/>
      <c r="B483" s="201"/>
      <c r="C483" s="133" t="s">
        <v>47</v>
      </c>
      <c r="D483" s="133" t="s">
        <v>485</v>
      </c>
      <c r="E483" s="133">
        <v>1000729</v>
      </c>
      <c r="F483" s="133" t="str">
        <f t="shared" si="6"/>
        <v>BoliviaMLPUHHLA0180001</v>
      </c>
      <c r="G483" s="133" t="s">
        <v>445</v>
      </c>
      <c r="H483" s="133">
        <v>16541341</v>
      </c>
      <c r="I483" s="136" t="s">
        <v>446</v>
      </c>
      <c r="J483" s="137" t="s">
        <v>51</v>
      </c>
    </row>
    <row r="484" spans="1:10" x14ac:dyDescent="0.3">
      <c r="A484" s="132"/>
      <c r="B484" s="201"/>
      <c r="C484" s="133" t="s">
        <v>47</v>
      </c>
      <c r="D484" s="133" t="s">
        <v>485</v>
      </c>
      <c r="E484" s="133">
        <v>1000729</v>
      </c>
      <c r="F484" s="153" t="str">
        <f t="shared" si="6"/>
        <v>BoliviaMLPUHHLA0240001</v>
      </c>
      <c r="G484" s="153" t="s">
        <v>447</v>
      </c>
      <c r="H484" s="133">
        <v>16588335</v>
      </c>
      <c r="I484" s="139" t="s">
        <v>448</v>
      </c>
      <c r="J484" s="137" t="s">
        <v>51</v>
      </c>
    </row>
    <row r="485" spans="1:10" x14ac:dyDescent="0.3">
      <c r="A485" s="132"/>
      <c r="B485" s="201"/>
      <c r="C485" s="133" t="s">
        <v>47</v>
      </c>
      <c r="D485" s="133" t="s">
        <v>485</v>
      </c>
      <c r="E485" s="133">
        <v>1000729</v>
      </c>
      <c r="F485" s="143" t="str">
        <f t="shared" si="6"/>
        <v>BoliviaMLPUHHLA0280001</v>
      </c>
      <c r="G485" s="143" t="s">
        <v>449</v>
      </c>
      <c r="H485" s="133">
        <v>16588341</v>
      </c>
      <c r="I485" s="136" t="s">
        <v>450</v>
      </c>
      <c r="J485" s="137" t="s">
        <v>51</v>
      </c>
    </row>
    <row r="486" spans="1:10" x14ac:dyDescent="0.3">
      <c r="A486" s="132"/>
      <c r="B486" s="201"/>
      <c r="C486" s="133" t="s">
        <v>47</v>
      </c>
      <c r="D486" s="133" t="s">
        <v>485</v>
      </c>
      <c r="E486" s="133">
        <v>1000729</v>
      </c>
      <c r="F486" s="141" t="str">
        <f t="shared" si="6"/>
        <v>BoliviaMLPUHHLA0340001</v>
      </c>
      <c r="G486" s="141" t="s">
        <v>451</v>
      </c>
      <c r="H486" s="133">
        <v>16543335</v>
      </c>
      <c r="I486" s="139" t="s">
        <v>452</v>
      </c>
      <c r="J486" s="137" t="s">
        <v>51</v>
      </c>
    </row>
    <row r="487" spans="1:10" x14ac:dyDescent="0.3">
      <c r="A487" s="132"/>
      <c r="B487" s="201"/>
      <c r="C487" s="133" t="s">
        <v>47</v>
      </c>
      <c r="D487" s="133" t="s">
        <v>485</v>
      </c>
      <c r="E487" s="133">
        <v>1000729</v>
      </c>
      <c r="F487" s="141" t="str">
        <f t="shared" si="6"/>
        <v>BoliviaMLPUHHLA0380001</v>
      </c>
      <c r="G487" s="141" t="s">
        <v>453</v>
      </c>
      <c r="H487" s="133">
        <v>16543341</v>
      </c>
      <c r="I487" s="136" t="s">
        <v>454</v>
      </c>
      <c r="J487" s="137" t="s">
        <v>51</v>
      </c>
    </row>
    <row r="488" spans="1:10" x14ac:dyDescent="0.3">
      <c r="A488" s="132"/>
      <c r="B488" s="201"/>
      <c r="C488" s="133" t="s">
        <v>47</v>
      </c>
      <c r="D488" s="133" t="s">
        <v>485</v>
      </c>
      <c r="E488" s="133">
        <v>1000729</v>
      </c>
      <c r="F488" s="141" t="str">
        <f t="shared" si="6"/>
        <v>BoliviaMLPUHHLA0440001</v>
      </c>
      <c r="G488" s="141" t="s">
        <v>455</v>
      </c>
      <c r="H488" s="133">
        <v>16545335</v>
      </c>
      <c r="I488" s="139" t="s">
        <v>456</v>
      </c>
      <c r="J488" s="137" t="s">
        <v>51</v>
      </c>
    </row>
    <row r="489" spans="1:10" x14ac:dyDescent="0.3">
      <c r="A489" s="132"/>
      <c r="B489" s="201"/>
      <c r="C489" s="133" t="s">
        <v>47</v>
      </c>
      <c r="D489" s="133" t="s">
        <v>485</v>
      </c>
      <c r="E489" s="133">
        <v>1000729</v>
      </c>
      <c r="F489" s="141" t="str">
        <f t="shared" si="6"/>
        <v>BoliviaMLPUHHLA0480001</v>
      </c>
      <c r="G489" s="133" t="s">
        <v>457</v>
      </c>
      <c r="H489" s="135">
        <v>16545341</v>
      </c>
      <c r="I489" s="136" t="s">
        <v>458</v>
      </c>
      <c r="J489" s="137" t="s">
        <v>51</v>
      </c>
    </row>
    <row r="490" spans="1:10" x14ac:dyDescent="0.3">
      <c r="A490" s="132"/>
      <c r="B490" s="201"/>
      <c r="C490" s="133" t="s">
        <v>47</v>
      </c>
      <c r="D490" s="133" t="s">
        <v>485</v>
      </c>
      <c r="E490" s="133">
        <v>1000729</v>
      </c>
      <c r="F490" s="141" t="str">
        <f t="shared" si="6"/>
        <v>BoliviaMLPUHHLA1240001</v>
      </c>
      <c r="G490" s="134" t="s">
        <v>459</v>
      </c>
      <c r="H490" s="134">
        <v>16544335</v>
      </c>
      <c r="I490" s="140" t="s">
        <v>460</v>
      </c>
      <c r="J490" s="137" t="s">
        <v>51</v>
      </c>
    </row>
    <row r="491" spans="1:10" x14ac:dyDescent="0.3">
      <c r="A491" s="132"/>
      <c r="B491" s="201"/>
      <c r="C491" s="133" t="s">
        <v>47</v>
      </c>
      <c r="D491" s="133" t="s">
        <v>485</v>
      </c>
      <c r="E491" s="133">
        <v>1000729</v>
      </c>
      <c r="F491" s="141" t="str">
        <f t="shared" si="6"/>
        <v>BoliviaMLPUHHLA1280001</v>
      </c>
      <c r="G491" s="134" t="s">
        <v>461</v>
      </c>
      <c r="H491" s="134">
        <v>16544341</v>
      </c>
      <c r="I491" s="140" t="s">
        <v>462</v>
      </c>
      <c r="J491" s="137" t="s">
        <v>51</v>
      </c>
    </row>
    <row r="492" spans="1:10" x14ac:dyDescent="0.3">
      <c r="A492" s="132"/>
      <c r="B492" s="201"/>
      <c r="C492" s="133" t="s">
        <v>47</v>
      </c>
      <c r="D492" s="133" t="s">
        <v>485</v>
      </c>
      <c r="E492" s="133">
        <v>1000729</v>
      </c>
      <c r="F492" s="141" t="str">
        <f t="shared" si="6"/>
        <v>BoliviaMLPUHHLA0540001</v>
      </c>
      <c r="G492" s="138" t="s">
        <v>463</v>
      </c>
      <c r="H492" s="135">
        <v>16546335</v>
      </c>
      <c r="I492" s="181" t="s">
        <v>464</v>
      </c>
      <c r="J492" s="137" t="s">
        <v>51</v>
      </c>
    </row>
    <row r="493" spans="1:10" x14ac:dyDescent="0.3">
      <c r="A493" s="132"/>
      <c r="B493" s="201"/>
      <c r="C493" s="133" t="s">
        <v>47</v>
      </c>
      <c r="D493" s="133" t="s">
        <v>485</v>
      </c>
      <c r="E493" s="133">
        <v>1000729</v>
      </c>
      <c r="F493" s="133" t="str">
        <f t="shared" si="6"/>
        <v>BoliviaMLPUHHLA1140001</v>
      </c>
      <c r="G493" s="133" t="s">
        <v>465</v>
      </c>
      <c r="H493" s="133">
        <v>16548335</v>
      </c>
      <c r="I493" s="139" t="s">
        <v>466</v>
      </c>
      <c r="J493" s="137" t="s">
        <v>51</v>
      </c>
    </row>
    <row r="494" spans="1:10" x14ac:dyDescent="0.3">
      <c r="A494" s="132"/>
      <c r="B494" s="201"/>
      <c r="C494" s="133" t="s">
        <v>47</v>
      </c>
      <c r="D494" s="133" t="s">
        <v>485</v>
      </c>
      <c r="E494" s="133">
        <v>1000729</v>
      </c>
      <c r="F494" s="133" t="str">
        <f t="shared" si="6"/>
        <v>BoliviaMLPUHHLA1440002</v>
      </c>
      <c r="G494" s="134" t="s">
        <v>467</v>
      </c>
      <c r="H494" s="134">
        <v>16686335</v>
      </c>
      <c r="I494" s="140" t="s">
        <v>468</v>
      </c>
      <c r="J494" s="137" t="s">
        <v>51</v>
      </c>
    </row>
    <row r="495" spans="1:10" x14ac:dyDescent="0.3">
      <c r="A495" s="132"/>
      <c r="B495" s="201"/>
      <c r="C495" s="133" t="s">
        <v>47</v>
      </c>
      <c r="D495" s="133" t="s">
        <v>485</v>
      </c>
      <c r="E495" s="133">
        <v>1000729</v>
      </c>
      <c r="F495" s="141" t="str">
        <f t="shared" ref="F495:F502" si="7">+_xlfn.CONCAT(D495,G495)</f>
        <v>BoliviaMLPUHHLA0840001</v>
      </c>
      <c r="G495" s="134" t="s">
        <v>469</v>
      </c>
      <c r="H495" s="134">
        <v>16671335</v>
      </c>
      <c r="I495" s="140" t="s">
        <v>470</v>
      </c>
      <c r="J495" s="137" t="s">
        <v>51</v>
      </c>
    </row>
    <row r="496" spans="1:10" x14ac:dyDescent="0.3">
      <c r="A496" s="132"/>
      <c r="B496" s="201"/>
      <c r="C496" s="133" t="s">
        <v>47</v>
      </c>
      <c r="D496" s="133" t="s">
        <v>485</v>
      </c>
      <c r="E496" s="133">
        <v>1000729</v>
      </c>
      <c r="F496" s="141" t="str">
        <f t="shared" si="7"/>
        <v>BoliviaMLPSHHLA1240001</v>
      </c>
      <c r="G496" s="141" t="s">
        <v>471</v>
      </c>
      <c r="H496" s="133">
        <v>16553335</v>
      </c>
      <c r="I496" s="136" t="s">
        <v>472</v>
      </c>
      <c r="J496" s="137" t="s">
        <v>51</v>
      </c>
    </row>
    <row r="497" spans="1:10" x14ac:dyDescent="0.3">
      <c r="A497" s="132"/>
      <c r="B497" s="201"/>
      <c r="C497" s="133" t="s">
        <v>47</v>
      </c>
      <c r="D497" s="133" t="s">
        <v>485</v>
      </c>
      <c r="E497" s="133">
        <v>1000729</v>
      </c>
      <c r="F497" s="141" t="str">
        <f t="shared" si="7"/>
        <v>BoliviaMLPSHHLA1280001</v>
      </c>
      <c r="G497" s="141" t="s">
        <v>473</v>
      </c>
      <c r="H497" s="133">
        <v>16553341</v>
      </c>
      <c r="I497" s="139" t="s">
        <v>474</v>
      </c>
      <c r="J497" s="137" t="s">
        <v>51</v>
      </c>
    </row>
    <row r="498" spans="1:10" x14ac:dyDescent="0.3">
      <c r="A498" s="132"/>
      <c r="B498" s="201"/>
      <c r="C498" s="133" t="s">
        <v>47</v>
      </c>
      <c r="D498" s="133" t="s">
        <v>485</v>
      </c>
      <c r="E498" s="133">
        <v>1000729</v>
      </c>
      <c r="F498" s="141" t="str">
        <f t="shared" si="7"/>
        <v>BoliviaMLPUHHLA0302801</v>
      </c>
      <c r="G498" s="134" t="s">
        <v>475</v>
      </c>
      <c r="H498" s="134">
        <v>16543913</v>
      </c>
      <c r="I498" s="140" t="s">
        <v>476</v>
      </c>
      <c r="J498" s="137" t="s">
        <v>51</v>
      </c>
    </row>
    <row r="499" spans="1:10" x14ac:dyDescent="0.3">
      <c r="A499" s="132"/>
      <c r="B499" s="201"/>
      <c r="C499" s="133" t="s">
        <v>47</v>
      </c>
      <c r="D499" s="133" t="s">
        <v>485</v>
      </c>
      <c r="E499" s="133">
        <v>1000729</v>
      </c>
      <c r="F499" s="141" t="str">
        <f t="shared" si="7"/>
        <v>BoliviaMLPSHHLA1204201</v>
      </c>
      <c r="G499" s="182" t="s">
        <v>477</v>
      </c>
      <c r="H499" s="182">
        <v>16553916</v>
      </c>
      <c r="I499" s="152" t="s">
        <v>478</v>
      </c>
      <c r="J499" s="137" t="s">
        <v>51</v>
      </c>
    </row>
    <row r="500" spans="1:10" x14ac:dyDescent="0.3">
      <c r="A500" s="132"/>
      <c r="B500" s="201"/>
      <c r="C500" s="133" t="s">
        <v>47</v>
      </c>
      <c r="D500" s="133" t="s">
        <v>485</v>
      </c>
      <c r="E500" s="133">
        <v>1000729</v>
      </c>
      <c r="F500" s="141" t="str">
        <f t="shared" si="7"/>
        <v>BoliviaMLPUFCLA1540001</v>
      </c>
      <c r="G500" s="141" t="s">
        <v>479</v>
      </c>
      <c r="H500" s="133">
        <v>420495</v>
      </c>
      <c r="I500" s="136" t="s">
        <v>480</v>
      </c>
      <c r="J500" s="137" t="s">
        <v>51</v>
      </c>
    </row>
    <row r="501" spans="1:10" x14ac:dyDescent="0.3">
      <c r="A501" s="132"/>
      <c r="B501" s="201"/>
      <c r="C501" s="133" t="s">
        <v>47</v>
      </c>
      <c r="D501" s="133" t="s">
        <v>485</v>
      </c>
      <c r="E501" s="133">
        <v>1000729</v>
      </c>
      <c r="F501" s="141" t="str">
        <f t="shared" si="7"/>
        <v xml:space="preserve">BoliviaRFPUESLA0107001 </v>
      </c>
      <c r="G501" s="153" t="s">
        <v>481</v>
      </c>
      <c r="H501" s="141">
        <v>1137271</v>
      </c>
      <c r="I501" s="136" t="s">
        <v>482</v>
      </c>
      <c r="J501" s="137" t="s">
        <v>281</v>
      </c>
    </row>
    <row r="502" spans="1:10" ht="15" thickBot="1" x14ac:dyDescent="0.35">
      <c r="A502" s="144"/>
      <c r="B502" s="202"/>
      <c r="C502" s="145" t="s">
        <v>47</v>
      </c>
      <c r="D502" s="145" t="s">
        <v>485</v>
      </c>
      <c r="E502" s="145">
        <v>1000729</v>
      </c>
      <c r="F502" s="157" t="str">
        <f t="shared" si="7"/>
        <v>BoliviaRFPRESMN1007002</v>
      </c>
      <c r="G502" s="190" t="s">
        <v>284</v>
      </c>
      <c r="H502" s="157">
        <v>10892</v>
      </c>
      <c r="I502" s="147" t="s">
        <v>285</v>
      </c>
      <c r="J502" s="148" t="s">
        <v>281</v>
      </c>
    </row>
  </sheetData>
  <autoFilter ref="A1:J1" xr:uid="{0D1C60AF-BEDC-4E08-B946-71B17317DC20}"/>
  <mergeCells count="70">
    <mergeCell ref="A461:A481"/>
    <mergeCell ref="B461:B481"/>
    <mergeCell ref="A482:A502"/>
    <mergeCell ref="B482:B502"/>
    <mergeCell ref="A433:A437"/>
    <mergeCell ref="B433:B437"/>
    <mergeCell ref="A438:A439"/>
    <mergeCell ref="B438:B439"/>
    <mergeCell ref="A440:A460"/>
    <mergeCell ref="B440:B460"/>
    <mergeCell ref="A402:A421"/>
    <mergeCell ref="B402:B421"/>
    <mergeCell ref="A422:A429"/>
    <mergeCell ref="B422:B429"/>
    <mergeCell ref="A430:A432"/>
    <mergeCell ref="B430:B432"/>
    <mergeCell ref="A331:A346"/>
    <mergeCell ref="B331:B346"/>
    <mergeCell ref="A347:A382"/>
    <mergeCell ref="B347:B382"/>
    <mergeCell ref="A383:A401"/>
    <mergeCell ref="B383:B401"/>
    <mergeCell ref="A244:A268"/>
    <mergeCell ref="B244:B268"/>
    <mergeCell ref="A269:A289"/>
    <mergeCell ref="B269:B289"/>
    <mergeCell ref="A290:A330"/>
    <mergeCell ref="B290:B330"/>
    <mergeCell ref="A204:A208"/>
    <mergeCell ref="B204:B208"/>
    <mergeCell ref="A209:A216"/>
    <mergeCell ref="B209:B216"/>
    <mergeCell ref="A217:A243"/>
    <mergeCell ref="B217:B243"/>
    <mergeCell ref="A181:A186"/>
    <mergeCell ref="B181:B186"/>
    <mergeCell ref="A187:A197"/>
    <mergeCell ref="B187:B197"/>
    <mergeCell ref="A198:A203"/>
    <mergeCell ref="B198:B203"/>
    <mergeCell ref="A130:A138"/>
    <mergeCell ref="B130:B138"/>
    <mergeCell ref="A139:A153"/>
    <mergeCell ref="B139:B153"/>
    <mergeCell ref="A154:A180"/>
    <mergeCell ref="B154:B180"/>
    <mergeCell ref="A103:A107"/>
    <mergeCell ref="B103:B107"/>
    <mergeCell ref="A108:A126"/>
    <mergeCell ref="B108:B126"/>
    <mergeCell ref="A127:A129"/>
    <mergeCell ref="B127:B129"/>
    <mergeCell ref="A71:A85"/>
    <mergeCell ref="B71:B85"/>
    <mergeCell ref="A86:A88"/>
    <mergeCell ref="B86:B88"/>
    <mergeCell ref="A89:A102"/>
    <mergeCell ref="B89:B102"/>
    <mergeCell ref="A55:A57"/>
    <mergeCell ref="B55:B57"/>
    <mergeCell ref="A58:A64"/>
    <mergeCell ref="B58:B64"/>
    <mergeCell ref="A65:A70"/>
    <mergeCell ref="B65:B70"/>
    <mergeCell ref="A2:A18"/>
    <mergeCell ref="B2:B18"/>
    <mergeCell ref="A19:A37"/>
    <mergeCell ref="B19:B37"/>
    <mergeCell ref="A38:A54"/>
    <mergeCell ref="B38:B54"/>
  </mergeCells>
  <conditionalFormatting sqref="I15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96:I30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 Load</vt:lpstr>
      <vt:lpstr>Product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Wassim Chamsi</dc:creator>
  <cp:lastModifiedBy>Wassim Chamsi</cp:lastModifiedBy>
  <dcterms:created xsi:type="dcterms:W3CDTF">2026-10-12T16:09:24Z</dcterms:created>
  <dcterms:modified xsi:type="dcterms:W3CDTF">2026-10-12T16:32:13Z</dcterms:modified>
</cp:coreProperties>
</file>